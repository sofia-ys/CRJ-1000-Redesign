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otime\PycharmProjects\CRJ-1000-Redesign\"/>
    </mc:Choice>
  </mc:AlternateContent>
  <xr:revisionPtr revIDLastSave="0" documentId="8_{9B6284E9-7151-4480-A3BF-1BF80D62F466}" xr6:coauthVersionLast="47" xr6:coauthVersionMax="47" xr10:uidLastSave="{00000000-0000-0000-0000-000000000000}"/>
  <bookViews>
    <workbookView xWindow="-108" yWindow="-108" windowWidth="23256" windowHeight="12456" firstSheet="1" activeTab="8" xr2:uid="{00000000-000D-0000-FFFF-FFFF00000000}"/>
  </bookViews>
  <sheets>
    <sheet name="Task_Distribution" sheetId="1" r:id="rId1"/>
    <sheet name="1.b) Ref_ac" sheetId="2" r:id="rId2"/>
    <sheet name="1.c)" sheetId="3" r:id="rId3"/>
    <sheet name="1.d)" sheetId="9" r:id="rId4"/>
    <sheet name="1.e)" sheetId="10" r:id="rId5"/>
    <sheet name="1.g)" sheetId="6" r:id="rId6"/>
    <sheet name="1.f)" sheetId="11" r:id="rId7"/>
    <sheet name="2.a)" sheetId="7" r:id="rId8"/>
    <sheet name="2.a_2)_RIK" sheetId="12" r:id="rId9"/>
    <sheet name="2.b)" sheetId="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3" l="1"/>
  <c r="B25" i="12" s="1"/>
  <c r="T15" i="12"/>
  <c r="B4" i="12"/>
  <c r="U5" i="12"/>
  <c r="I23" i="3"/>
  <c r="Q20" i="3"/>
  <c r="Q22" i="3"/>
  <c r="C21" i="3" s="1"/>
  <c r="B19" i="12" s="1"/>
  <c r="AC10" i="12"/>
  <c r="AC11" i="12"/>
  <c r="AC12" i="12"/>
  <c r="AC7" i="12"/>
  <c r="M20" i="3"/>
  <c r="M22" i="3"/>
  <c r="C20" i="3" s="1"/>
  <c r="B18" i="12" s="1"/>
  <c r="AB9" i="12"/>
  <c r="U27" i="12"/>
  <c r="U26" i="12"/>
  <c r="E6" i="2"/>
  <c r="D7" i="2"/>
  <c r="E4" i="2"/>
  <c r="C25" i="3"/>
  <c r="C22" i="3"/>
  <c r="D18" i="12"/>
  <c r="B20" i="12"/>
  <c r="A1" i="12"/>
  <c r="A2" i="12"/>
  <c r="B2" i="12"/>
  <c r="A3" i="12"/>
  <c r="G3" i="12"/>
  <c r="H3" i="12"/>
  <c r="I3" i="12"/>
  <c r="J3" i="12"/>
  <c r="M3" i="12"/>
  <c r="N3" i="12"/>
  <c r="O3" i="12"/>
  <c r="P3" i="12"/>
  <c r="A4" i="12"/>
  <c r="T5" i="12" s="1"/>
  <c r="C4" i="12"/>
  <c r="V5" i="12" s="1"/>
  <c r="D4" i="12"/>
  <c r="G4" i="12"/>
  <c r="M4" i="12"/>
  <c r="A5" i="12"/>
  <c r="B5" i="12"/>
  <c r="E5" i="12"/>
  <c r="G5" i="12"/>
  <c r="M5" i="12"/>
  <c r="A6" i="12"/>
  <c r="T7" i="12" s="1"/>
  <c r="B6" i="12"/>
  <c r="E6" i="12"/>
  <c r="G6" i="12"/>
  <c r="M6" i="12"/>
  <c r="A7" i="12"/>
  <c r="T8" i="12" s="1"/>
  <c r="B7" i="12"/>
  <c r="E7" i="12"/>
  <c r="M7" i="12"/>
  <c r="A8" i="12"/>
  <c r="B8" i="12"/>
  <c r="M8" i="12"/>
  <c r="A9" i="12"/>
  <c r="T10" i="12" s="1"/>
  <c r="B9" i="12"/>
  <c r="C9" i="12"/>
  <c r="V10" i="12" s="1"/>
  <c r="M9" i="12"/>
  <c r="A10" i="12"/>
  <c r="T11" i="12" s="1"/>
  <c r="B10" i="12"/>
  <c r="C10" i="12"/>
  <c r="V11" i="12" s="1"/>
  <c r="M10" i="12"/>
  <c r="A11" i="12"/>
  <c r="T12" i="12" s="1"/>
  <c r="B11" i="12"/>
  <c r="C11" i="12"/>
  <c r="V12" i="12" s="1"/>
  <c r="A12" i="12"/>
  <c r="T13" i="12" s="1"/>
  <c r="B12" i="12"/>
  <c r="C12" i="12"/>
  <c r="V13" i="12" s="1"/>
  <c r="A13" i="12"/>
  <c r="A16" i="12"/>
  <c r="B16" i="12"/>
  <c r="C16" i="12"/>
  <c r="G16" i="12"/>
  <c r="A17" i="12"/>
  <c r="B17" i="12"/>
  <c r="D17" i="12"/>
  <c r="G17" i="12"/>
  <c r="H17" i="12"/>
  <c r="A18" i="12"/>
  <c r="A19" i="12"/>
  <c r="D19" i="12"/>
  <c r="A20" i="12"/>
  <c r="D20" i="12"/>
  <c r="A21" i="12"/>
  <c r="B21" i="12"/>
  <c r="D21" i="12"/>
  <c r="A22" i="12"/>
  <c r="B22" i="12"/>
  <c r="D22" i="12"/>
  <c r="A23" i="12"/>
  <c r="B23" i="12"/>
  <c r="D23" i="12"/>
  <c r="A24" i="12"/>
  <c r="B24" i="12"/>
  <c r="D24" i="12"/>
  <c r="A25" i="12"/>
  <c r="A27" i="12"/>
  <c r="D27" i="12"/>
  <c r="A28" i="12"/>
  <c r="B28" i="12"/>
  <c r="C28" i="12"/>
  <c r="D28" i="12"/>
  <c r="A29" i="12"/>
  <c r="B29" i="12"/>
  <c r="C29" i="12"/>
  <c r="D29" i="12"/>
  <c r="A30" i="12"/>
  <c r="B30" i="12"/>
  <c r="C30" i="12"/>
  <c r="D30" i="12"/>
  <c r="A31" i="12"/>
  <c r="B31" i="12"/>
  <c r="C31" i="12"/>
  <c r="D31" i="12"/>
  <c r="A32" i="12"/>
  <c r="C32" i="12"/>
  <c r="D32" i="12"/>
  <c r="A33" i="12"/>
  <c r="B33" i="12"/>
  <c r="C33" i="12"/>
  <c r="D33" i="12"/>
  <c r="A34" i="12"/>
  <c r="C34" i="12"/>
  <c r="D34" i="12"/>
  <c r="A40" i="12"/>
  <c r="A41" i="12"/>
  <c r="B41" i="12"/>
  <c r="A42" i="12"/>
  <c r="C42" i="12"/>
  <c r="A43" i="12"/>
  <c r="B43" i="12"/>
  <c r="C43" i="12"/>
  <c r="A44" i="12"/>
  <c r="B44" i="12"/>
  <c r="C44" i="12"/>
  <c r="D46" i="12"/>
  <c r="E46" i="12"/>
  <c r="B47" i="12"/>
  <c r="B48" i="12"/>
  <c r="A51" i="12"/>
  <c r="B51" i="12"/>
  <c r="C51" i="12"/>
  <c r="D51" i="12"/>
  <c r="A52" i="12"/>
  <c r="C52" i="12"/>
  <c r="A53" i="12"/>
  <c r="C53" i="12"/>
  <c r="A54" i="12"/>
  <c r="C54" i="12"/>
  <c r="A55" i="12"/>
  <c r="A56" i="12"/>
  <c r="A57" i="12"/>
  <c r="X18" i="7"/>
  <c r="Q6" i="7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5" i="6"/>
  <c r="Q4" i="6"/>
  <c r="I25" i="6"/>
  <c r="I15" i="6"/>
  <c r="I13" i="6" s="1"/>
  <c r="E12" i="6"/>
  <c r="E9" i="6"/>
  <c r="I28" i="6" s="1"/>
  <c r="E5" i="6"/>
  <c r="H8" i="6" s="1"/>
  <c r="Y18" i="7"/>
  <c r="W15" i="7"/>
  <c r="AB12" i="7"/>
  <c r="AB10" i="7"/>
  <c r="AA10" i="7"/>
  <c r="AA12" i="7"/>
  <c r="Z12" i="7"/>
  <c r="Z10" i="7"/>
  <c r="X9" i="7"/>
  <c r="E10" i="7"/>
  <c r="E7" i="7"/>
  <c r="C59" i="7"/>
  <c r="C58" i="7"/>
  <c r="C56" i="7"/>
  <c r="C55" i="7"/>
  <c r="C54" i="7"/>
  <c r="C44" i="7"/>
  <c r="C42" i="7"/>
  <c r="C36" i="7"/>
  <c r="C34" i="7"/>
  <c r="C27" i="7"/>
  <c r="F56" i="7" s="1"/>
  <c r="C26" i="7"/>
  <c r="C25" i="7"/>
  <c r="C19" i="7"/>
  <c r="D16" i="7"/>
  <c r="C57" i="7" s="1"/>
  <c r="C15" i="7"/>
  <c r="D15" i="7" s="1"/>
  <c r="D14" i="7"/>
  <c r="P10" i="7" s="1"/>
  <c r="D13" i="7"/>
  <c r="P6" i="7" s="1"/>
  <c r="D12" i="7"/>
  <c r="P11" i="7" s="1"/>
  <c r="D11" i="7"/>
  <c r="J7" i="7" s="1"/>
  <c r="D10" i="7"/>
  <c r="P7" i="7" s="1"/>
  <c r="D9" i="7"/>
  <c r="P8" i="7" s="1"/>
  <c r="D8" i="7"/>
  <c r="P9" i="7" s="1"/>
  <c r="D7" i="7"/>
  <c r="J6" i="7" s="1"/>
  <c r="C58" i="3"/>
  <c r="B56" i="12" s="1"/>
  <c r="C59" i="3"/>
  <c r="B57" i="12" s="1"/>
  <c r="C56" i="3"/>
  <c r="B54" i="12" s="1"/>
  <c r="C55" i="3"/>
  <c r="B53" i="12" s="1"/>
  <c r="C54" i="3"/>
  <c r="B52" i="12" s="1"/>
  <c r="E7" i="2"/>
  <c r="C26" i="3"/>
  <c r="C42" i="3"/>
  <c r="C44" i="3"/>
  <c r="B42" i="12" s="1"/>
  <c r="C36" i="3"/>
  <c r="C34" i="3"/>
  <c r="B32" i="12" s="1"/>
  <c r="D8" i="3"/>
  <c r="D9" i="3"/>
  <c r="D10" i="3"/>
  <c r="D11" i="3"/>
  <c r="I7" i="3" s="1"/>
  <c r="H5" i="12" s="1"/>
  <c r="D12" i="3"/>
  <c r="D13" i="3"/>
  <c r="O6" i="3" s="1"/>
  <c r="D14" i="3"/>
  <c r="O10" i="3" s="1"/>
  <c r="N8" i="12" s="1"/>
  <c r="D7" i="3"/>
  <c r="C15" i="3"/>
  <c r="E9" i="2"/>
  <c r="E5" i="2"/>
  <c r="E8" i="2"/>
  <c r="E3" i="2"/>
  <c r="D15" i="3" l="1"/>
  <c r="B13" i="12"/>
  <c r="O14" i="12" s="1"/>
  <c r="U19" i="12" s="1"/>
  <c r="D19" i="3"/>
  <c r="C17" i="12" s="1"/>
  <c r="E55" i="3"/>
  <c r="D53" i="12" s="1"/>
  <c r="E54" i="3"/>
  <c r="D52" i="12" s="1"/>
  <c r="E56" i="3"/>
  <c r="D54" i="12" s="1"/>
  <c r="O9" i="3"/>
  <c r="N7" i="12" s="1"/>
  <c r="C6" i="12"/>
  <c r="V7" i="12" s="1"/>
  <c r="O8" i="3"/>
  <c r="N6" i="12" s="1"/>
  <c r="C7" i="12"/>
  <c r="V8" i="12" s="1"/>
  <c r="O7" i="3"/>
  <c r="N5" i="12" s="1"/>
  <c r="C8" i="12"/>
  <c r="V9" i="12" s="1"/>
  <c r="N4" i="12"/>
  <c r="O12" i="3"/>
  <c r="N10" i="12" s="1"/>
  <c r="I6" i="3"/>
  <c r="C5" i="12"/>
  <c r="V6" i="12" s="1"/>
  <c r="C13" i="12"/>
  <c r="C57" i="3"/>
  <c r="B55" i="12" s="1"/>
  <c r="AC9" i="12"/>
  <c r="AB8" i="12"/>
  <c r="AC8" i="12" s="1"/>
  <c r="B34" i="12"/>
  <c r="E20" i="6"/>
  <c r="I23" i="6" s="1"/>
  <c r="I22" i="6" s="1"/>
  <c r="E7" i="3"/>
  <c r="P6" i="3"/>
  <c r="O4" i="12" s="1"/>
  <c r="D58" i="3"/>
  <c r="B40" i="12"/>
  <c r="E58" i="3"/>
  <c r="D56" i="12" s="1"/>
  <c r="C56" i="12"/>
  <c r="D25" i="7"/>
  <c r="D26" i="7"/>
  <c r="D19" i="7"/>
  <c r="F54" i="7"/>
  <c r="C22" i="7"/>
  <c r="D22" i="7" s="1"/>
  <c r="D23" i="7"/>
  <c r="J8" i="7"/>
  <c r="E58" i="7"/>
  <c r="F58" i="7" s="1"/>
  <c r="D20" i="7"/>
  <c r="D21" i="7"/>
  <c r="D24" i="7"/>
  <c r="F55" i="7"/>
  <c r="P12" i="7"/>
  <c r="O11" i="3"/>
  <c r="N9" i="12" s="1"/>
  <c r="D26" i="3"/>
  <c r="C24" i="12" s="1"/>
  <c r="D20" i="3"/>
  <c r="C18" i="12" s="1"/>
  <c r="D25" i="3"/>
  <c r="C23" i="12" s="1"/>
  <c r="D24" i="3"/>
  <c r="C22" i="12" s="1"/>
  <c r="D22" i="3"/>
  <c r="D23" i="3"/>
  <c r="C21" i="12" s="1"/>
  <c r="D21" i="3"/>
  <c r="C19" i="12" s="1"/>
  <c r="V15" i="12" l="1"/>
  <c r="U18" i="12" s="1"/>
  <c r="U21" i="12" s="1"/>
  <c r="U6" i="12" s="1"/>
  <c r="I8" i="3"/>
  <c r="H4" i="12"/>
  <c r="H9" i="6"/>
  <c r="H7" i="6"/>
  <c r="H5" i="6" s="1"/>
  <c r="D5" i="12"/>
  <c r="D57" i="3"/>
  <c r="E8" i="3"/>
  <c r="C55" i="12"/>
  <c r="D59" i="3"/>
  <c r="C57" i="12" s="1"/>
  <c r="Q6" i="3"/>
  <c r="P4" i="12" s="1"/>
  <c r="C20" i="12"/>
  <c r="L6" i="7"/>
  <c r="F8" i="7"/>
  <c r="F57" i="7" s="1"/>
  <c r="F59" i="7" s="1"/>
  <c r="R6" i="7"/>
  <c r="F7" i="7"/>
  <c r="E57" i="7" s="1"/>
  <c r="E59" i="7" s="1"/>
  <c r="K6" i="7"/>
  <c r="T30" i="12" l="1"/>
  <c r="U30" i="12" s="1"/>
  <c r="U14" i="12"/>
  <c r="U11" i="12"/>
  <c r="U12" i="12"/>
  <c r="U10" i="12"/>
  <c r="U13" i="12"/>
  <c r="U9" i="12"/>
  <c r="U7" i="12"/>
  <c r="U8" i="12"/>
  <c r="H6" i="12"/>
  <c r="K6" i="3"/>
  <c r="J4" i="12" s="1"/>
  <c r="J6" i="3"/>
  <c r="I4" i="12" s="1"/>
  <c r="P4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5" i="6"/>
  <c r="P104" i="6"/>
  <c r="P102" i="6"/>
  <c r="P100" i="6"/>
  <c r="P99" i="6"/>
  <c r="P97" i="6"/>
  <c r="P95" i="6"/>
  <c r="P93" i="6"/>
  <c r="P92" i="6"/>
  <c r="P90" i="6"/>
  <c r="P88" i="6"/>
  <c r="P86" i="6"/>
  <c r="P84" i="6"/>
  <c r="P83" i="6"/>
  <c r="P65" i="6"/>
  <c r="P64" i="6"/>
  <c r="P63" i="6"/>
  <c r="P62" i="6"/>
  <c r="P61" i="6"/>
  <c r="P6" i="6"/>
  <c r="P103" i="6"/>
  <c r="P101" i="6"/>
  <c r="P98" i="6"/>
  <c r="P96" i="6"/>
  <c r="P94" i="6"/>
  <c r="P91" i="6"/>
  <c r="P89" i="6"/>
  <c r="P87" i="6"/>
  <c r="P85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E57" i="3"/>
  <c r="D6" i="12"/>
  <c r="U15" i="12" l="1"/>
  <c r="E59" i="3"/>
  <c r="D57" i="12" s="1"/>
  <c r="D55" i="12"/>
</calcChain>
</file>

<file path=xl/sharedStrings.xml><?xml version="1.0" encoding="utf-8"?>
<sst xmlns="http://schemas.openxmlformats.org/spreadsheetml/2006/main" count="599" uniqueCount="310">
  <si>
    <t>What?</t>
  </si>
  <si>
    <t>Who?</t>
  </si>
  <si>
    <t>Progress</t>
  </si>
  <si>
    <t>Overleaf</t>
  </si>
  <si>
    <t>Part 1: Assessment of the reference aircraft</t>
  </si>
  <si>
    <t>Not started</t>
  </si>
  <si>
    <t>Not Started</t>
  </si>
  <si>
    <t>a)</t>
  </si>
  <si>
    <t>Familiarize</t>
  </si>
  <si>
    <t>Matej, sofia, rik, marcos, theo, toñas</t>
  </si>
  <si>
    <t>some pdfs in the teams</t>
  </si>
  <si>
    <t>b)</t>
  </si>
  <si>
    <t>Generate</t>
  </si>
  <si>
    <t>Done</t>
  </si>
  <si>
    <t>I.</t>
  </si>
  <si>
    <t>Table</t>
  </si>
  <si>
    <t>II.</t>
  </si>
  <si>
    <t>Pie chart</t>
  </si>
  <si>
    <t>c)</t>
  </si>
  <si>
    <t>Generate a table from the weight breakdown</t>
  </si>
  <si>
    <t xml:space="preserve">Matej, Rik, Marcos, Theo, </t>
  </si>
  <si>
    <t>Fuselage and wing group</t>
  </si>
  <si>
    <t>Calculate the cg of groups and components</t>
  </si>
  <si>
    <t>1.</t>
  </si>
  <si>
    <t>one global system positioned ahead</t>
  </si>
  <si>
    <t>2.</t>
  </si>
  <si>
    <t>system fixed at LEMAC</t>
  </si>
  <si>
    <t>d)</t>
  </si>
  <si>
    <t>Generate aircraft loading diagram</t>
  </si>
  <si>
    <t>e)</t>
  </si>
  <si>
    <t>Identify most aft and forward CG positions</t>
  </si>
  <si>
    <t>Matej</t>
  </si>
  <si>
    <t>Report them in a table</t>
  </si>
  <si>
    <t>f)</t>
  </si>
  <si>
    <t>Report all geometry and aero parameters for stability and controllability [see e) in second part]</t>
  </si>
  <si>
    <t>g)</t>
  </si>
  <si>
    <t>Generate scissor plot</t>
  </si>
  <si>
    <t>Part 2: Evaluation of design modifications</t>
  </si>
  <si>
    <t>generate a second weight table, similar to 1.b)</t>
  </si>
  <si>
    <t>Rik &amp; Marcos</t>
  </si>
  <si>
    <t>Updated CG data table similar to 1.c)</t>
  </si>
  <si>
    <t>Loading diagrams similar to 1.d)</t>
  </si>
  <si>
    <t>Scissor plot [report both 1.g) and 2.d) in same figure]</t>
  </si>
  <si>
    <t>Table with necessary dats to built scissor plots</t>
  </si>
  <si>
    <t>Provide answers to customer questions [3.2 from a) to f) in reader]</t>
  </si>
  <si>
    <t>Part 3: Organisations of group</t>
  </si>
  <si>
    <t>appendix</t>
  </si>
  <si>
    <t>abs [kg]</t>
  </si>
  <si>
    <t>%MTOW</t>
  </si>
  <si>
    <t>MTOW</t>
  </si>
  <si>
    <t>OEW</t>
  </si>
  <si>
    <t>Fuel weight @ max payload</t>
  </si>
  <si>
    <t>Max payload</t>
  </si>
  <si>
    <t>Pax&amp;cabin luggage</t>
  </si>
  <si>
    <t>Front cargo hold</t>
  </si>
  <si>
    <t>Aft cargo hold</t>
  </si>
  <si>
    <t>Slice labels</t>
  </si>
  <si>
    <t>EOW</t>
  </si>
  <si>
    <t>kg</t>
  </si>
  <si>
    <t>Table provided, expressed in percentage of the EOW</t>
  </si>
  <si>
    <t>Wing group</t>
  </si>
  <si>
    <t>mass (kg)</t>
  </si>
  <si>
    <t>XCG nose</t>
  </si>
  <si>
    <t>Xcg lemac</t>
  </si>
  <si>
    <t>Fuselage group</t>
  </si>
  <si>
    <t>Component</t>
  </si>
  <si>
    <t>Weight (% EOW)</t>
  </si>
  <si>
    <t>OEW CG</t>
  </si>
  <si>
    <t>Wing</t>
  </si>
  <si>
    <t>propulsion</t>
  </si>
  <si>
    <t>from nose</t>
  </si>
  <si>
    <t>main landing gear</t>
  </si>
  <si>
    <t>fuselage</t>
  </si>
  <si>
    <t>Horizontal Tail</t>
  </si>
  <si>
    <t>from LEMAC</t>
  </si>
  <si>
    <t>Total</t>
  </si>
  <si>
    <t>vertical tail</t>
  </si>
  <si>
    <t>Vertical Tail</t>
  </si>
  <si>
    <t>lemac</t>
  </si>
  <si>
    <t>horizontal tail</t>
  </si>
  <si>
    <t>Fuselage</t>
  </si>
  <si>
    <t>cockpit</t>
  </si>
  <si>
    <t>Main Landing gear</t>
  </si>
  <si>
    <t>nose landing gear</t>
  </si>
  <si>
    <t>Nose Landing gear</t>
  </si>
  <si>
    <t>Propulsion System</t>
  </si>
  <si>
    <t>Cockpit Systems</t>
  </si>
  <si>
    <t xml:space="preserve">CG </t>
  </si>
  <si>
    <t>cg position from front</t>
  </si>
  <si>
    <t>position from LEMAC</t>
  </si>
  <si>
    <t>[m]</t>
  </si>
  <si>
    <t>nose to lemac</t>
  </si>
  <si>
    <t>LEMAC Calculation prerequisites</t>
  </si>
  <si>
    <t>source</t>
  </si>
  <si>
    <t>Wing surface</t>
  </si>
  <si>
    <t>[m2]</t>
  </si>
  <si>
    <t>CPJ1000APMR8</t>
  </si>
  <si>
    <t>wing span</t>
  </si>
  <si>
    <t>taper</t>
  </si>
  <si>
    <t>[-]</t>
  </si>
  <si>
    <t>root chord</t>
  </si>
  <si>
    <t>CRJ1000APMR8</t>
  </si>
  <si>
    <t>tip chord</t>
  </si>
  <si>
    <t xml:space="preserve">sweep </t>
  </si>
  <si>
    <t>degrees</t>
  </si>
  <si>
    <t>aspect ratio</t>
  </si>
  <si>
    <t>number passangers</t>
  </si>
  <si>
    <t>n rows</t>
  </si>
  <si>
    <t>seat per row</t>
  </si>
  <si>
    <t>seat pitch</t>
  </si>
  <si>
    <t>first row longitudinal position</t>
  </si>
  <si>
    <t xml:space="preserve">passenger mass per </t>
  </si>
  <si>
    <t>[kg]</t>
  </si>
  <si>
    <t>MAC</t>
  </si>
  <si>
    <t>MAC: 4.11, Position: (5.20, -3.45)</t>
  </si>
  <si>
    <t>AC Position: (5.20, -4.47)</t>
  </si>
  <si>
    <t>Mass</t>
  </si>
  <si>
    <t>position from front</t>
  </si>
  <si>
    <t>Fuel</t>
  </si>
  <si>
    <t>Front cargo compart</t>
  </si>
  <si>
    <t>Rear Crago Comp</t>
  </si>
  <si>
    <t>PAX</t>
  </si>
  <si>
    <t>Cruise speed</t>
  </si>
  <si>
    <t>Approach speed</t>
  </si>
  <si>
    <t>Tail-wing speed ratio (Vh/V)</t>
  </si>
  <si>
    <t>Lift rate coefficient of the tail at cruise speed</t>
  </si>
  <si>
    <t xml:space="preserve">Lift rate coefficient of the aircraft-less-tail at cruise speed, including the separate contributions of: </t>
  </si>
  <si>
    <t>Wing downwash gradient</t>
  </si>
  <si>
    <t xml:space="preserve">Position of the aerodynamic center of the aircraft-less-tail, evaluated both at cruise and approach speed, and including the following separate contributions:  </t>
  </si>
  <si>
    <t xml:space="preserve">Wing </t>
  </si>
  <si>
    <t>Nacelles</t>
  </si>
  <si>
    <t xml:space="preserve">Maximum horizontal tail lift coefficient (indicate also the type of tail, e.g. full moving, fixed, etc) </t>
  </si>
  <si>
    <t xml:space="preserve">Zero Lift pitching moment coefficient of the aircraft-less-tail, including the separate contributions of all the aircraft parts. </t>
  </si>
  <si>
    <t>Stability</t>
  </si>
  <si>
    <t>Control</t>
  </si>
  <si>
    <t>A.C parameters required</t>
  </si>
  <si>
    <t>symbol</t>
  </si>
  <si>
    <t>value</t>
  </si>
  <si>
    <t>STABILITY</t>
  </si>
  <si>
    <t>CONTROL</t>
  </si>
  <si>
    <t>X_cg</t>
  </si>
  <si>
    <t>Sh/S (stab)</t>
  </si>
  <si>
    <t>Sh/S (control)</t>
  </si>
  <si>
    <t>MAC chord length. THIS IS TAKEN FROM THE mac PYTHON SCRIPT</t>
  </si>
  <si>
    <t>c_MAC</t>
  </si>
  <si>
    <t>x_ac estimations (as percentages of MAC)</t>
  </si>
  <si>
    <t>wingspan</t>
  </si>
  <si>
    <t>b</t>
  </si>
  <si>
    <t>x_ac</t>
  </si>
  <si>
    <t>Var</t>
  </si>
  <si>
    <t>Symbol</t>
  </si>
  <si>
    <t>fuselage width</t>
  </si>
  <si>
    <t>b_f</t>
  </si>
  <si>
    <t>x_ac_w</t>
  </si>
  <si>
    <t>Zero-lift pitching moment of a.c without tail</t>
  </si>
  <si>
    <t>Cmac</t>
  </si>
  <si>
    <t>fuselage height</t>
  </si>
  <si>
    <t>h_f</t>
  </si>
  <si>
    <t>x_ac_f1</t>
  </si>
  <si>
    <t>CL_Ah</t>
  </si>
  <si>
    <t>length of a.c nose to where the wing's leading edge touches the fuselage</t>
  </si>
  <si>
    <t>l_fn</t>
  </si>
  <si>
    <t>x_ac_f2</t>
  </si>
  <si>
    <t>Tail lift coeff (-1 for full moving, -0,8 for adjustable,-0,35 for fixed tail)</t>
  </si>
  <si>
    <t>CL_h</t>
  </si>
  <si>
    <t>wing surface</t>
  </si>
  <si>
    <t>S</t>
  </si>
  <si>
    <t>x_ac_n</t>
  </si>
  <si>
    <t>NOT c.g I think ?? smth to do with x_ac_f2</t>
  </si>
  <si>
    <t>c_g</t>
  </si>
  <si>
    <t>Xac</t>
  </si>
  <si>
    <t>Taper Ratio?? something else???</t>
  </si>
  <si>
    <t>Lambda_0.25</t>
  </si>
  <si>
    <t>taper ratio</t>
  </si>
  <si>
    <t>lambda</t>
  </si>
  <si>
    <t>Cla_H estimation</t>
  </si>
  <si>
    <t>nacelle width</t>
  </si>
  <si>
    <t>b_n</t>
  </si>
  <si>
    <t>Change of Cl with alpha for the tail</t>
  </si>
  <si>
    <t>CLa_H</t>
  </si>
  <si>
    <t>longitudinal distance of the engine-s furthest point from the quarter/cord of the MAC. The engine being more forward than the MAC is a positive l and more aft is negative l</t>
  </si>
  <si>
    <t>l_n</t>
  </si>
  <si>
    <t>Mach num for tail</t>
  </si>
  <si>
    <t>M_h</t>
  </si>
  <si>
    <t>number of  engines</t>
  </si>
  <si>
    <t>.</t>
  </si>
  <si>
    <t>NO idea but has to do with mach</t>
  </si>
  <si>
    <t>Beta_h</t>
  </si>
  <si>
    <t>nacelle constant k, -4 fornacelles on the LE of wing or fuselage nose, -2,5 for engines mounted on the rear fuselage</t>
  </si>
  <si>
    <t>k</t>
  </si>
  <si>
    <t>no idea</t>
  </si>
  <si>
    <t>Eta_h</t>
  </si>
  <si>
    <t>Probably the tail length???? IM NOT RLY SURE</t>
  </si>
  <si>
    <t>l_h</t>
  </si>
  <si>
    <t>IM GUESSING aspect ratio of wing</t>
  </si>
  <si>
    <t>A_h</t>
  </si>
  <si>
    <t>Ratio of tail speed to wing speed squared</t>
  </si>
  <si>
    <t>(V_h/V)^2</t>
  </si>
  <si>
    <t>Taper ratio 0.5??? idk</t>
  </si>
  <si>
    <t>Lambda_0.5_w</t>
  </si>
  <si>
    <t>0,85 if fuselage-mounted, 0,95 if fin-mounted and 1 if T-tail or canard</t>
  </si>
  <si>
    <t>Aspect Ratio of the wing</t>
  </si>
  <si>
    <t>A_w</t>
  </si>
  <si>
    <t>Cla_AH estimation</t>
  </si>
  <si>
    <t xml:space="preserve">Change of Cl with alpha for the wing w.r.t tail </t>
  </si>
  <si>
    <t>Cla_AH</t>
  </si>
  <si>
    <t>CLaw (the change of CL with alpha for the wing)</t>
  </si>
  <si>
    <t>Cla_w</t>
  </si>
  <si>
    <t>Mach num for wing</t>
  </si>
  <si>
    <t>M_w</t>
  </si>
  <si>
    <t>Beta for wing</t>
  </si>
  <si>
    <t>Beta_w</t>
  </si>
  <si>
    <t>still no idea</t>
  </si>
  <si>
    <t>Eta_w</t>
  </si>
  <si>
    <t>Lambda_0.5_h</t>
  </si>
  <si>
    <t>S less the projection of the central wing inside the fuselage</t>
  </si>
  <si>
    <t>S_net</t>
  </si>
  <si>
    <t>downwash approximation</t>
  </si>
  <si>
    <t>de/da</t>
  </si>
  <si>
    <t>updated mass</t>
  </si>
  <si>
    <t>Volume</t>
  </si>
  <si>
    <t>new</t>
  </si>
  <si>
    <t>new precent</t>
  </si>
  <si>
    <t>change</t>
  </si>
  <si>
    <t>Battery forward</t>
  </si>
  <si>
    <t>m3</t>
  </si>
  <si>
    <t>Gargo forward</t>
  </si>
  <si>
    <t>Battery backward</t>
  </si>
  <si>
    <t>Gargo backward</t>
  </si>
  <si>
    <t>2.b</t>
  </si>
  <si>
    <t>start</t>
  </si>
  <si>
    <t>backward</t>
  </si>
  <si>
    <t>Number</t>
  </si>
  <si>
    <t>inpact</t>
  </si>
  <si>
    <t>what modification</t>
  </si>
  <si>
    <t>AREA</t>
  </si>
  <si>
    <t>BATT length</t>
  </si>
  <si>
    <t xml:space="preserve">engines </t>
  </si>
  <si>
    <t>engines 20 procent increase length and diameter</t>
  </si>
  <si>
    <t>no weight or cg change</t>
  </si>
  <si>
    <t>wing &amp; fuselage</t>
  </si>
  <si>
    <t xml:space="preserve">  -9 procent weight and -7 for weight fuselage</t>
  </si>
  <si>
    <t>forward cargo hold &amp; back gargo hold</t>
  </si>
  <si>
    <t>2025 kg in forward hold, 2475 kg in backward hold</t>
  </si>
  <si>
    <t>new EOW with battery</t>
  </si>
  <si>
    <t>pax</t>
  </si>
  <si>
    <t>last 3 rows (12 seats are removed)</t>
  </si>
  <si>
    <t>cargo</t>
  </si>
  <si>
    <t>cargo weight steads the same, but different distrubtion (less volume)</t>
  </si>
  <si>
    <t>MTOW says the same -&gt; less fuel bc of batteries</t>
  </si>
  <si>
    <t>Wing AR</t>
  </si>
  <si>
    <t>25 procent bigger</t>
  </si>
  <si>
    <t>Maximum CL</t>
  </si>
  <si>
    <t>20 procent bigger</t>
  </si>
  <si>
    <t xml:space="preserve">landing gear </t>
  </si>
  <si>
    <t>30 cm higher</t>
  </si>
  <si>
    <t>Updated mass</t>
  </si>
  <si>
    <t>Théotime</t>
  </si>
  <si>
    <t>change 3</t>
  </si>
  <si>
    <t>CRJ1000 geometry</t>
  </si>
  <si>
    <t>Fuselage length</t>
  </si>
  <si>
    <t>m</t>
  </si>
  <si>
    <t>Number of passengers</t>
  </si>
  <si>
    <t>Nose to front of nacelles</t>
  </si>
  <si>
    <t>Length of engines</t>
  </si>
  <si>
    <t>Extra orginal OEW (Not contibuting to CG)</t>
  </si>
  <si>
    <t>new operating empty weight</t>
  </si>
  <si>
    <t>Components</t>
  </si>
  <si>
    <t>Extra weights</t>
  </si>
  <si>
    <t>New passenger weight</t>
  </si>
  <si>
    <t>OEW_NEW</t>
  </si>
  <si>
    <t>Vert tail height</t>
  </si>
  <si>
    <t>Vert tail vert cg pos</t>
  </si>
  <si>
    <t>Horizontal Tail span</t>
  </si>
  <si>
    <t>Hor Tail cg y location</t>
  </si>
  <si>
    <t>Hor Tail MAC</t>
  </si>
  <si>
    <t>Hor Tail cg x location from front of MAC</t>
  </si>
  <si>
    <t>Distance from LEMAC to tip of hor tail</t>
  </si>
  <si>
    <t>Nose to tip of  hor tail</t>
  </si>
  <si>
    <t>dist</t>
  </si>
  <si>
    <t>unit</t>
  </si>
  <si>
    <t>Ver tail MAC</t>
  </si>
  <si>
    <t>Ver tail LEMAC to cg</t>
  </si>
  <si>
    <t>Nose to vert tail LEMAC</t>
  </si>
  <si>
    <t>old PAX</t>
  </si>
  <si>
    <t>n people</t>
  </si>
  <si>
    <t>Horizontal Tail Geometry</t>
  </si>
  <si>
    <t>Vertical tail Geometry</t>
  </si>
  <si>
    <t>Lateral CG pos</t>
  </si>
  <si>
    <t>Weight</t>
  </si>
  <si>
    <t>Wing_new</t>
  </si>
  <si>
    <t>Fuselage_new</t>
  </si>
  <si>
    <t>Batteries</t>
  </si>
  <si>
    <t>Wing geometry</t>
  </si>
  <si>
    <t>precentage of extra weight (not contributing to cg)</t>
  </si>
  <si>
    <t>NEW weights precentages</t>
  </si>
  <si>
    <t>sofia</t>
  </si>
  <si>
    <t>c_s (inside wing no control surfaces?)</t>
  </si>
  <si>
    <t>Engines</t>
  </si>
  <si>
    <t>Length and diameter</t>
  </si>
  <si>
    <t>Weight or CG shift</t>
  </si>
  <si>
    <t>-</t>
  </si>
  <si>
    <t>Forward Cargo</t>
  </si>
  <si>
    <t xml:space="preserve">Matej, sofia   </t>
  </si>
  <si>
    <t>m/s</t>
  </si>
  <si>
    <t>%</t>
  </si>
  <si>
    <t>Aft Cargo</t>
  </si>
  <si>
    <t>https://www.youtube.com/watch?v=nzRFznnfm7o&amp;t=100s</t>
  </si>
  <si>
    <t>https://www.flyradius.com/bombardier-crj1000/specifications</t>
  </si>
  <si>
    <t>sead slides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</si>
</sst>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5" borderId="6" xfId="0" applyFill="1" applyBorder="1"/>
    <xf numFmtId="0" fontId="0" fillId="5" borderId="6" xfId="0" applyFill="1" applyBorder="1" applyAlignment="1">
      <alignment horizontal="left" vertical="top"/>
    </xf>
    <xf numFmtId="0" fontId="0" fillId="5" borderId="6" xfId="0" applyFill="1" applyBorder="1" applyAlignment="1">
      <alignment vertical="top"/>
    </xf>
    <xf numFmtId="0" fontId="0" fillId="5" borderId="9" xfId="0" applyFill="1" applyBorder="1"/>
    <xf numFmtId="0" fontId="0" fillId="5" borderId="13" xfId="0" applyFill="1" applyBorder="1"/>
    <xf numFmtId="0" fontId="0" fillId="5" borderId="14" xfId="0" applyFill="1" applyBorder="1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0" fillId="6" borderId="4" xfId="0" applyFill="1" applyBorder="1"/>
    <xf numFmtId="0" fontId="0" fillId="6" borderId="1" xfId="0" applyFill="1" applyBorder="1"/>
    <xf numFmtId="0" fontId="0" fillId="6" borderId="1" xfId="0" applyFill="1" applyBorder="1" applyAlignment="1">
      <alignment vertical="top" wrapText="1"/>
    </xf>
    <xf numFmtId="0" fontId="0" fillId="6" borderId="10" xfId="0" applyFill="1" applyBorder="1"/>
    <xf numFmtId="0" fontId="0" fillId="0" borderId="0" xfId="0" applyAlignment="1">
      <alignment wrapText="1"/>
    </xf>
    <xf numFmtId="0" fontId="0" fillId="0" borderId="0" xfId="0" applyAlignment="1">
      <alignment textRotation="90"/>
    </xf>
    <xf numFmtId="0" fontId="2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" fontId="0" fillId="0" borderId="0" xfId="0" applyNumberFormat="1"/>
    <xf numFmtId="0" fontId="0" fillId="0" borderId="1" xfId="0" applyBorder="1"/>
    <xf numFmtId="0" fontId="2" fillId="6" borderId="1" xfId="0" applyFont="1" applyFill="1" applyBorder="1"/>
    <xf numFmtId="0" fontId="0" fillId="11" borderId="1" xfId="0" applyFill="1" applyBorder="1"/>
    <xf numFmtId="0" fontId="2" fillId="6" borderId="6" xfId="0" applyFont="1" applyFill="1" applyBorder="1"/>
    <xf numFmtId="0" fontId="2" fillId="6" borderId="7" xfId="0" applyFont="1" applyFill="1" applyBorder="1"/>
    <xf numFmtId="0" fontId="0" fillId="11" borderId="6" xfId="0" applyFill="1" applyBorder="1"/>
    <xf numFmtId="1" fontId="0" fillId="11" borderId="7" xfId="0" applyNumberFormat="1" applyFill="1" applyBorder="1"/>
    <xf numFmtId="0" fontId="2" fillId="6" borderId="9" xfId="0" applyFont="1" applyFill="1" applyBorder="1"/>
    <xf numFmtId="1" fontId="0" fillId="6" borderId="11" xfId="0" applyNumberFormat="1" applyFill="1" applyBorder="1"/>
    <xf numFmtId="0" fontId="0" fillId="11" borderId="0" xfId="0" applyFill="1"/>
    <xf numFmtId="0" fontId="0" fillId="11" borderId="9" xfId="0" applyFill="1" applyBorder="1"/>
    <xf numFmtId="0" fontId="0" fillId="11" borderId="3" xfId="0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2" fontId="0" fillId="0" borderId="1" xfId="0" applyNumberFormat="1" applyBorder="1"/>
    <xf numFmtId="2" fontId="0" fillId="0" borderId="0" xfId="0" applyNumberFormat="1"/>
    <xf numFmtId="2" fontId="0" fillId="0" borderId="4" xfId="0" applyNumberFormat="1" applyBorder="1"/>
    <xf numFmtId="2" fontId="0" fillId="0" borderId="22" xfId="0" applyNumberFormat="1" applyBorder="1"/>
    <xf numFmtId="2" fontId="0" fillId="0" borderId="10" xfId="0" applyNumberFormat="1" applyBorder="1"/>
    <xf numFmtId="0" fontId="0" fillId="12" borderId="0" xfId="0" applyFill="1"/>
    <xf numFmtId="0" fontId="2" fillId="6" borderId="0" xfId="0" applyFont="1" applyFill="1"/>
    <xf numFmtId="0" fontId="2" fillId="0" borderId="0" xfId="0" applyFont="1" applyAlignment="1">
      <alignment horizontal="left" vertical="top"/>
    </xf>
    <xf numFmtId="1" fontId="0" fillId="11" borderId="0" xfId="0" applyNumberFormat="1" applyFill="1"/>
    <xf numFmtId="1" fontId="0" fillId="6" borderId="0" xfId="0" applyNumberFormat="1" applyFill="1"/>
    <xf numFmtId="0" fontId="0" fillId="13" borderId="0" xfId="0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7" xfId="0" applyNumberFormat="1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2" fontId="0" fillId="0" borderId="5" xfId="0" applyNumberFormat="1" applyBorder="1"/>
    <xf numFmtId="0" fontId="0" fillId="6" borderId="12" xfId="0" applyFill="1" applyBorder="1"/>
    <xf numFmtId="0" fontId="0" fillId="6" borderId="13" xfId="0" applyFill="1" applyBorder="1"/>
    <xf numFmtId="0" fontId="0" fillId="6" borderId="14" xfId="0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12" borderId="23" xfId="0" applyFill="1" applyBorder="1"/>
    <xf numFmtId="2" fontId="0" fillId="0" borderId="24" xfId="0" applyNumberFormat="1" applyBorder="1"/>
    <xf numFmtId="0" fontId="0" fillId="0" borderId="25" xfId="0" applyBorder="1"/>
    <xf numFmtId="0" fontId="2" fillId="14" borderId="3" xfId="0" applyFont="1" applyFill="1" applyBorder="1" applyAlignment="1">
      <alignment horizontal="right"/>
    </xf>
    <xf numFmtId="0" fontId="2" fillId="0" borderId="5" xfId="0" applyFont="1" applyBorder="1"/>
    <xf numFmtId="0" fontId="2" fillId="14" borderId="9" xfId="0" applyFont="1" applyFill="1" applyBorder="1"/>
    <xf numFmtId="0" fontId="2" fillId="0" borderId="11" xfId="0" applyFont="1" applyBorder="1"/>
    <xf numFmtId="1" fontId="0" fillId="0" borderId="1" xfId="0" applyNumberFormat="1" applyBorder="1"/>
    <xf numFmtId="0" fontId="0" fillId="0" borderId="6" xfId="0" applyBorder="1"/>
    <xf numFmtId="0" fontId="0" fillId="0" borderId="9" xfId="0" applyBorder="1"/>
    <xf numFmtId="1" fontId="0" fillId="0" borderId="10" xfId="0" applyNumberFormat="1" applyBorder="1"/>
    <xf numFmtId="0" fontId="2" fillId="0" borderId="12" xfId="0" applyFont="1" applyBorder="1"/>
    <xf numFmtId="1" fontId="0" fillId="0" borderId="4" xfId="0" applyNumberFormat="1" applyBorder="1"/>
    <xf numFmtId="0" fontId="0" fillId="0" borderId="0" xfId="0" applyAlignment="1">
      <alignment horizontal="left" vertical="top" wrapText="1"/>
    </xf>
    <xf numFmtId="0" fontId="0" fillId="15" borderId="0" xfId="0" applyFill="1"/>
    <xf numFmtId="2" fontId="0" fillId="15" borderId="0" xfId="0" applyNumberFormat="1" applyFill="1"/>
    <xf numFmtId="0" fontId="0" fillId="16" borderId="0" xfId="0" applyFill="1"/>
    <xf numFmtId="0" fontId="4" fillId="17" borderId="0" xfId="0" applyFont="1" applyFill="1"/>
    <xf numFmtId="0" fontId="0" fillId="17" borderId="0" xfId="0" applyFill="1"/>
    <xf numFmtId="11" fontId="0" fillId="17" borderId="0" xfId="0" applyNumberFormat="1" applyFill="1"/>
    <xf numFmtId="2" fontId="0" fillId="16" borderId="0" xfId="0" applyNumberFormat="1" applyFill="1"/>
    <xf numFmtId="11" fontId="0" fillId="15" borderId="0" xfId="0" applyNumberFormat="1" applyFill="1"/>
    <xf numFmtId="0" fontId="0" fillId="16" borderId="0" xfId="0" quotePrefix="1" applyFill="1"/>
    <xf numFmtId="0" fontId="0" fillId="18" borderId="1" xfId="0" applyFill="1" applyBorder="1"/>
    <xf numFmtId="0" fontId="0" fillId="18" borderId="10" xfId="0" applyFill="1" applyBorder="1"/>
    <xf numFmtId="1" fontId="0" fillId="11" borderId="11" xfId="0" applyNumberFormat="1" applyFill="1" applyBorder="1"/>
    <xf numFmtId="0" fontId="0" fillId="19" borderId="0" xfId="0" applyFill="1"/>
    <xf numFmtId="164" fontId="0" fillId="0" borderId="4" xfId="0" applyNumberFormat="1" applyBorder="1"/>
    <xf numFmtId="164" fontId="0" fillId="0" borderId="1" xfId="0" applyNumberFormat="1" applyBorder="1"/>
    <xf numFmtId="164" fontId="0" fillId="0" borderId="22" xfId="0" applyNumberFormat="1" applyBorder="1"/>
    <xf numFmtId="164" fontId="0" fillId="0" borderId="10" xfId="0" applyNumberFormat="1" applyBorder="1"/>
    <xf numFmtId="0" fontId="0" fillId="6" borderId="27" xfId="0" applyFill="1" applyBorder="1"/>
    <xf numFmtId="0" fontId="0" fillId="6" borderId="28" xfId="0" applyFill="1" applyBorder="1"/>
    <xf numFmtId="0" fontId="0" fillId="6" borderId="29" xfId="0" applyFill="1" applyBorder="1"/>
    <xf numFmtId="0" fontId="0" fillId="20" borderId="3" xfId="0" applyFill="1" applyBorder="1"/>
    <xf numFmtId="0" fontId="0" fillId="20" borderId="6" xfId="0" applyFill="1" applyBorder="1"/>
    <xf numFmtId="0" fontId="0" fillId="20" borderId="6" xfId="0" applyFill="1" applyBorder="1" applyAlignment="1">
      <alignment wrapText="1"/>
    </xf>
    <xf numFmtId="0" fontId="0" fillId="20" borderId="9" xfId="0" applyFill="1" applyBorder="1" applyAlignment="1">
      <alignment wrapText="1"/>
    </xf>
    <xf numFmtId="0" fontId="0" fillId="20" borderId="6" xfId="0" applyFill="1" applyBorder="1" applyAlignment="1">
      <alignment horizontal="left" vertical="top" wrapText="1"/>
    </xf>
    <xf numFmtId="0" fontId="0" fillId="20" borderId="9" xfId="0" applyFill="1" applyBorder="1"/>
    <xf numFmtId="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textRotation="90"/>
    </xf>
    <xf numFmtId="0" fontId="2" fillId="0" borderId="26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0" fillId="11" borderId="16" xfId="0" applyFill="1" applyBorder="1" applyAlignment="1">
      <alignment horizontal="left" vertical="top"/>
    </xf>
    <xf numFmtId="0" fontId="0" fillId="11" borderId="17" xfId="0" applyFill="1" applyBorder="1" applyAlignment="1">
      <alignment horizontal="left" vertical="top"/>
    </xf>
    <xf numFmtId="0" fontId="0" fillId="7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/>
    </xf>
    <xf numFmtId="0" fontId="0" fillId="8" borderId="1" xfId="0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49" fontId="0" fillId="5" borderId="8" xfId="0" applyNumberFormat="1" applyFill="1" applyBorder="1" applyAlignment="1">
      <alignment horizontal="right" vertical="top"/>
    </xf>
    <xf numFmtId="49" fontId="0" fillId="5" borderId="15" xfId="0" applyNumberFormat="1" applyFill="1" applyBorder="1" applyAlignment="1">
      <alignment horizontal="right" vertical="top"/>
    </xf>
    <xf numFmtId="49" fontId="0" fillId="5" borderId="2" xfId="0" applyNumberFormat="1" applyFill="1" applyBorder="1" applyAlignment="1">
      <alignment horizontal="right" vertical="top"/>
    </xf>
    <xf numFmtId="0" fontId="0" fillId="2" borderId="10" xfId="0" applyFill="1" applyBorder="1" applyAlignment="1">
      <alignment horizontal="left" vertical="top"/>
    </xf>
    <xf numFmtId="0" fontId="0" fillId="5" borderId="12" xfId="0" applyFill="1" applyBorder="1" applyAlignment="1">
      <alignment horizontal="left" vertical="top"/>
    </xf>
    <xf numFmtId="0" fontId="0" fillId="5" borderId="13" xfId="0" applyFill="1" applyBorder="1" applyAlignment="1">
      <alignment horizontal="left" vertical="top"/>
    </xf>
    <xf numFmtId="0" fontId="0" fillId="5" borderId="8" xfId="0" applyFill="1" applyBorder="1" applyAlignment="1">
      <alignment horizontal="right" vertical="top"/>
    </xf>
    <xf numFmtId="0" fontId="0" fillId="5" borderId="2" xfId="0" applyFill="1" applyBorder="1" applyAlignment="1">
      <alignment horizontal="right" vertical="top"/>
    </xf>
    <xf numFmtId="0" fontId="1" fillId="4" borderId="6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0" fillId="9" borderId="1" xfId="0" applyFill="1" applyBorder="1" applyAlignment="1">
      <alignment horizontal="left" vertical="top"/>
    </xf>
    <xf numFmtId="0" fontId="0" fillId="10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0" fillId="12" borderId="0" xfId="0" applyFill="1" applyAlignment="1">
      <alignment horizontal="left" vertical="top" wrapText="1"/>
    </xf>
    <xf numFmtId="0" fontId="0" fillId="12" borderId="0" xfId="0" applyFill="1" applyAlignment="1">
      <alignment horizontal="left" vertical="top"/>
    </xf>
  </cellXfs>
  <cellStyles count="1">
    <cellStyle name="Normal" xfId="0" builtinId="0"/>
  </cellStyles>
  <dxfs count="5">
    <dxf>
      <font>
        <color rgb="FFA50021"/>
      </font>
      <fill>
        <patternFill>
          <bgColor rgb="FFFF0000"/>
        </patternFill>
      </fill>
    </dxf>
    <dxf>
      <font>
        <color rgb="FFC00000"/>
      </font>
      <fill>
        <patternFill>
          <bgColor rgb="FFFF6600"/>
        </patternFill>
      </fill>
    </dxf>
    <dxf>
      <font>
        <color rgb="FFA50021"/>
      </font>
      <fill>
        <patternFill>
          <bgColor rgb="FFFFC000"/>
        </patternFill>
      </fill>
    </dxf>
    <dxf>
      <font>
        <color rgb="FFA50021"/>
      </font>
      <fill>
        <patternFill>
          <bgColor rgb="FFEBE600"/>
        </patternFill>
      </fill>
    </dxf>
    <dxf>
      <font>
        <color theme="9" tint="-0.499984740745262"/>
      </font>
      <fill>
        <patternFill>
          <bgColor rgb="FF92D050"/>
        </patternFill>
      </fill>
    </dxf>
  </dxfs>
  <tableStyles count="0" defaultTableStyle="TableStyleMedium2" defaultPivotStyle="PivotStyleMedium9"/>
  <colors>
    <mruColors>
      <color rgb="FFA50021"/>
      <color rgb="FFEBE600"/>
      <color rgb="FFEEE800"/>
      <color rgb="FFDBD6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CRJ-1000 MTOW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2"/>
          <c:order val="0"/>
          <c:tx>
            <c:v>MTOW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E15B-4561-8DE2-22DF54AD3F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E15B-4561-8DE2-22DF54AD3F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E15B-4561-8DE2-22DF54AD3F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E15B-4561-8DE2-22DF54AD3FE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4-E15B-4561-8DE2-22DF54AD3FE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E15B-4561-8DE2-22DF54AD3FE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6-E15B-4561-8DE2-22DF54AD3FE2}"/>
              </c:ext>
            </c:extLst>
          </c:dPt>
          <c:dLbls>
            <c:dLbl>
              <c:idx val="1"/>
              <c:layout>
                <c:manualLayout>
                  <c:x val="-8.3616095461928455E-2"/>
                  <c:y val="-2.1243121405783795E-17"/>
                </c:manualLayout>
              </c:layout>
              <c:dLblPos val="bestFi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15B-4561-8DE2-22DF54AD3FE2}"/>
                </c:ext>
              </c:extLst>
            </c:dLbl>
            <c:dLbl>
              <c:idx val="3"/>
              <c:layout>
                <c:manualLayout>
                  <c:x val="-0.15833809067392629"/>
                  <c:y val="-0.2040805543701355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Max</a:t>
                    </a:r>
                    <a:r>
                      <a:rPr lang="en-US" baseline="0"/>
                      <a:t> Payload</a:t>
                    </a:r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E15B-4561-8DE2-22DF54AD3F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('1.b) Ref_ac'!$B$13:$B$14,'1.b) Ref_ac'!$B$16:$B$19)</c:f>
              <c:strCache>
                <c:ptCount val="5"/>
                <c:pt idx="0">
                  <c:v>OEW</c:v>
                </c:pt>
                <c:pt idx="1">
                  <c:v>Fuel weight @ max payload</c:v>
                </c:pt>
                <c:pt idx="2">
                  <c:v>Pax&amp;cabin luggage</c:v>
                </c:pt>
                <c:pt idx="3">
                  <c:v>Front cargo hold</c:v>
                </c:pt>
                <c:pt idx="4">
                  <c:v>Aft cargo hold</c:v>
                </c:pt>
              </c:strCache>
            </c:strRef>
          </c:cat>
          <c:val>
            <c:numRef>
              <c:f>('1.b) Ref_ac'!$E$4:$E$5,'1.b) Ref_ac'!$E$7:$E$9)</c:f>
              <c:numCache>
                <c:formatCode>General</c:formatCode>
                <c:ptCount val="5"/>
                <c:pt idx="0">
                  <c:v>59.464033850493657</c:v>
                </c:pt>
                <c:pt idx="1">
                  <c:v>9.8499807667649701</c:v>
                </c:pt>
                <c:pt idx="2">
                  <c:v>23.585075009616617</c:v>
                </c:pt>
                <c:pt idx="3">
                  <c:v>2.4669829465316067</c:v>
                </c:pt>
                <c:pt idx="4">
                  <c:v>4.6339274265931527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E15B-4561-8DE2-22DF54AD3F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3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"Sh/S (stab)", "Sh/S (control)" por "X_cg"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'1.g)'!$P$3</c:f>
              <c:strCache>
                <c:ptCount val="1"/>
                <c:pt idx="0">
                  <c:v>Sh/S (stab)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'1.g)'!$O$4:$O$104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'1.g)'!$P$4:$P$104</c:f>
              <c:numCache>
                <c:formatCode>General</c:formatCode>
                <c:ptCount val="101"/>
                <c:pt idx="0">
                  <c:v>3.8744947191061314E-2</c:v>
                </c:pt>
                <c:pt idx="1">
                  <c:v>3.8744947191061314E-2</c:v>
                </c:pt>
                <c:pt idx="2">
                  <c:v>4.0547419222186146E-2</c:v>
                </c:pt>
                <c:pt idx="3">
                  <c:v>4.2349891253310977E-2</c:v>
                </c:pt>
                <c:pt idx="4">
                  <c:v>4.4152363284435808E-2</c:v>
                </c:pt>
                <c:pt idx="5">
                  <c:v>4.5954835315560633E-2</c:v>
                </c:pt>
                <c:pt idx="6">
                  <c:v>4.7757307346685457E-2</c:v>
                </c:pt>
                <c:pt idx="7">
                  <c:v>4.9559779377810281E-2</c:v>
                </c:pt>
                <c:pt idx="8">
                  <c:v>5.1362251408935113E-2</c:v>
                </c:pt>
                <c:pt idx="9">
                  <c:v>5.3164723440059944E-2</c:v>
                </c:pt>
                <c:pt idx="10">
                  <c:v>5.4967195471184761E-2</c:v>
                </c:pt>
                <c:pt idx="11">
                  <c:v>5.6769667502309593E-2</c:v>
                </c:pt>
                <c:pt idx="12">
                  <c:v>5.8572139533434424E-2</c:v>
                </c:pt>
                <c:pt idx="13">
                  <c:v>6.0374611564559248E-2</c:v>
                </c:pt>
                <c:pt idx="14">
                  <c:v>6.2177083595684079E-2</c:v>
                </c:pt>
                <c:pt idx="15">
                  <c:v>6.3979555626808904E-2</c:v>
                </c:pt>
                <c:pt idx="16">
                  <c:v>6.5782027657933742E-2</c:v>
                </c:pt>
                <c:pt idx="17">
                  <c:v>6.7584499689058566E-2</c:v>
                </c:pt>
                <c:pt idx="18">
                  <c:v>6.9386971720183405E-2</c:v>
                </c:pt>
                <c:pt idx="19">
                  <c:v>7.1189443751308215E-2</c:v>
                </c:pt>
                <c:pt idx="20">
                  <c:v>7.2991915782433053E-2</c:v>
                </c:pt>
                <c:pt idx="21">
                  <c:v>7.4794387813557878E-2</c:v>
                </c:pt>
                <c:pt idx="22">
                  <c:v>7.6596859844682702E-2</c:v>
                </c:pt>
                <c:pt idx="23">
                  <c:v>7.8399331875807526E-2</c:v>
                </c:pt>
                <c:pt idx="24">
                  <c:v>8.0201803906932351E-2</c:v>
                </c:pt>
                <c:pt idx="25">
                  <c:v>8.2004275938057189E-2</c:v>
                </c:pt>
                <c:pt idx="26">
                  <c:v>8.3806747969182013E-2</c:v>
                </c:pt>
                <c:pt idx="27">
                  <c:v>8.5609220000306852E-2</c:v>
                </c:pt>
                <c:pt idx="28">
                  <c:v>8.7411692031431676E-2</c:v>
                </c:pt>
                <c:pt idx="29">
                  <c:v>8.92141640625565E-2</c:v>
                </c:pt>
                <c:pt idx="30">
                  <c:v>9.1016636093681325E-2</c:v>
                </c:pt>
                <c:pt idx="31">
                  <c:v>9.2819108124806149E-2</c:v>
                </c:pt>
                <c:pt idx="32">
                  <c:v>9.4621580155930987E-2</c:v>
                </c:pt>
                <c:pt idx="33">
                  <c:v>9.6424052187055811E-2</c:v>
                </c:pt>
                <c:pt idx="34">
                  <c:v>9.822652421818065E-2</c:v>
                </c:pt>
                <c:pt idx="35">
                  <c:v>0.10002899624930549</c:v>
                </c:pt>
                <c:pt idx="36">
                  <c:v>0.1018314682804303</c:v>
                </c:pt>
                <c:pt idx="37">
                  <c:v>0.10363394031155514</c:v>
                </c:pt>
                <c:pt idx="38">
                  <c:v>0.10543641234267996</c:v>
                </c:pt>
                <c:pt idx="39">
                  <c:v>0.10723888437380479</c:v>
                </c:pt>
                <c:pt idx="40">
                  <c:v>0.10904135640492962</c:v>
                </c:pt>
                <c:pt idx="41">
                  <c:v>0.11084382843605445</c:v>
                </c:pt>
                <c:pt idx="42">
                  <c:v>0.11264630046717926</c:v>
                </c:pt>
                <c:pt idx="43">
                  <c:v>0.11444877249830408</c:v>
                </c:pt>
                <c:pt idx="44">
                  <c:v>0.11625124452942892</c:v>
                </c:pt>
                <c:pt idx="45">
                  <c:v>0.11805371656055375</c:v>
                </c:pt>
                <c:pt idx="46">
                  <c:v>0.11985618859167858</c:v>
                </c:pt>
                <c:pt idx="47">
                  <c:v>0.12165866062280341</c:v>
                </c:pt>
                <c:pt idx="48">
                  <c:v>0.12346113265392823</c:v>
                </c:pt>
                <c:pt idx="49">
                  <c:v>0.12526360468505307</c:v>
                </c:pt>
                <c:pt idx="50">
                  <c:v>0.12706607671617789</c:v>
                </c:pt>
                <c:pt idx="51">
                  <c:v>0.12886854874730272</c:v>
                </c:pt>
                <c:pt idx="52">
                  <c:v>0.13067102077842754</c:v>
                </c:pt>
                <c:pt idx="53">
                  <c:v>0.1324734928095524</c:v>
                </c:pt>
                <c:pt idx="54">
                  <c:v>0.13427596484067722</c:v>
                </c:pt>
                <c:pt idx="55">
                  <c:v>0.13607843687180204</c:v>
                </c:pt>
                <c:pt idx="56">
                  <c:v>0.13788090890292687</c:v>
                </c:pt>
                <c:pt idx="57">
                  <c:v>0.13968338093405169</c:v>
                </c:pt>
                <c:pt idx="58">
                  <c:v>0.14148585296517652</c:v>
                </c:pt>
                <c:pt idx="59">
                  <c:v>0.14328832499630134</c:v>
                </c:pt>
                <c:pt idx="60">
                  <c:v>0.14509079702742617</c:v>
                </c:pt>
                <c:pt idx="61">
                  <c:v>0.14689326905855099</c:v>
                </c:pt>
                <c:pt idx="62">
                  <c:v>0.14869574108967584</c:v>
                </c:pt>
                <c:pt idx="63">
                  <c:v>0.15049821312080067</c:v>
                </c:pt>
                <c:pt idx="64">
                  <c:v>0.15230068515192549</c:v>
                </c:pt>
                <c:pt idx="65">
                  <c:v>0.15410315718305032</c:v>
                </c:pt>
                <c:pt idx="66">
                  <c:v>0.15590562921417514</c:v>
                </c:pt>
                <c:pt idx="67">
                  <c:v>0.15770810124529999</c:v>
                </c:pt>
                <c:pt idx="68">
                  <c:v>0.15951057327642482</c:v>
                </c:pt>
                <c:pt idx="69">
                  <c:v>0.16131304530754964</c:v>
                </c:pt>
                <c:pt idx="70">
                  <c:v>0.16311551733867444</c:v>
                </c:pt>
                <c:pt idx="71">
                  <c:v>0.16491798936979929</c:v>
                </c:pt>
                <c:pt idx="72">
                  <c:v>0.16672046140092411</c:v>
                </c:pt>
                <c:pt idx="73">
                  <c:v>0.16852293343204894</c:v>
                </c:pt>
                <c:pt idx="74">
                  <c:v>0.17032540546317376</c:v>
                </c:pt>
                <c:pt idx="75">
                  <c:v>0.17212787749429859</c:v>
                </c:pt>
                <c:pt idx="76">
                  <c:v>0.17393034952542344</c:v>
                </c:pt>
                <c:pt idx="77">
                  <c:v>0.17573282155654826</c:v>
                </c:pt>
                <c:pt idx="78">
                  <c:v>0.17753529358767309</c:v>
                </c:pt>
                <c:pt idx="79">
                  <c:v>0.17933776561879791</c:v>
                </c:pt>
                <c:pt idx="80">
                  <c:v>0.18114023764992274</c:v>
                </c:pt>
                <c:pt idx="81">
                  <c:v>0.18294270968104759</c:v>
                </c:pt>
                <c:pt idx="82">
                  <c:v>0.18474518171217241</c:v>
                </c:pt>
                <c:pt idx="83">
                  <c:v>0.18654765374329718</c:v>
                </c:pt>
                <c:pt idx="84">
                  <c:v>0.18835012577442203</c:v>
                </c:pt>
                <c:pt idx="85">
                  <c:v>0.19015259780554689</c:v>
                </c:pt>
                <c:pt idx="86">
                  <c:v>0.19195506983667168</c:v>
                </c:pt>
                <c:pt idx="87">
                  <c:v>0.19375754186779656</c:v>
                </c:pt>
                <c:pt idx="88">
                  <c:v>0.19556001389892133</c:v>
                </c:pt>
                <c:pt idx="89">
                  <c:v>0.19736248593004621</c:v>
                </c:pt>
                <c:pt idx="90">
                  <c:v>0.19916495796117101</c:v>
                </c:pt>
                <c:pt idx="91">
                  <c:v>0.20096742999229586</c:v>
                </c:pt>
                <c:pt idx="92">
                  <c:v>0.20276990202342066</c:v>
                </c:pt>
                <c:pt idx="93">
                  <c:v>0.20457237405454554</c:v>
                </c:pt>
                <c:pt idx="94">
                  <c:v>0.20637484608567033</c:v>
                </c:pt>
                <c:pt idx="95">
                  <c:v>0.20817731811679516</c:v>
                </c:pt>
                <c:pt idx="96">
                  <c:v>0.20997979014791998</c:v>
                </c:pt>
                <c:pt idx="97">
                  <c:v>0.21178226217904481</c:v>
                </c:pt>
                <c:pt idx="98">
                  <c:v>0.21358473421016963</c:v>
                </c:pt>
                <c:pt idx="99">
                  <c:v>0.21538720624129445</c:v>
                </c:pt>
                <c:pt idx="100">
                  <c:v>0.21718967827241931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815A92AB-B086-43DF-A923-4CB5BB68EF91}"/>
            </c:ext>
          </c:extLst>
        </c:ser>
        <c:ser>
          <c:idx val="1"/>
          <c:order val="1"/>
          <c:tx>
            <c:strRef>
              <c:f>'1.g)'!$Q$3</c:f>
              <c:strCache>
                <c:ptCount val="1"/>
                <c:pt idx="0">
                  <c:v>Sh/S (control)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'1.g)'!$O$4:$O$104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'1.g)'!$Q$4:$Q$104</c:f>
              <c:numCache>
                <c:formatCode>General</c:formatCode>
                <c:ptCount val="101"/>
                <c:pt idx="0">
                  <c:v>0.29797499999999999</c:v>
                </c:pt>
                <c:pt idx="1">
                  <c:v>0.29797499999999999</c:v>
                </c:pt>
                <c:pt idx="2">
                  <c:v>0.2907825</c:v>
                </c:pt>
                <c:pt idx="3">
                  <c:v>0.28359000000000001</c:v>
                </c:pt>
                <c:pt idx="4">
                  <c:v>0.27639750000000002</c:v>
                </c:pt>
                <c:pt idx="5">
                  <c:v>0.26920500000000003</c:v>
                </c:pt>
                <c:pt idx="6">
                  <c:v>0.26201250000000004</c:v>
                </c:pt>
                <c:pt idx="7">
                  <c:v>0.25481999999999999</c:v>
                </c:pt>
                <c:pt idx="8">
                  <c:v>0.2476275</c:v>
                </c:pt>
                <c:pt idx="9">
                  <c:v>0.24043499999999998</c:v>
                </c:pt>
                <c:pt idx="10">
                  <c:v>0.23324249999999999</c:v>
                </c:pt>
                <c:pt idx="11">
                  <c:v>0.22604999999999997</c:v>
                </c:pt>
                <c:pt idx="12">
                  <c:v>0.21885750000000001</c:v>
                </c:pt>
                <c:pt idx="13">
                  <c:v>0.21166500000000002</c:v>
                </c:pt>
                <c:pt idx="14">
                  <c:v>0.2044725</c:v>
                </c:pt>
                <c:pt idx="15">
                  <c:v>0.19728000000000001</c:v>
                </c:pt>
                <c:pt idx="16">
                  <c:v>0.19008750000000002</c:v>
                </c:pt>
                <c:pt idx="17">
                  <c:v>0.18289500000000003</c:v>
                </c:pt>
                <c:pt idx="18">
                  <c:v>0.17570250000000001</c:v>
                </c:pt>
                <c:pt idx="19">
                  <c:v>0.16851000000000002</c:v>
                </c:pt>
                <c:pt idx="20">
                  <c:v>0.1613175</c:v>
                </c:pt>
                <c:pt idx="21">
                  <c:v>0.15412500000000001</c:v>
                </c:pt>
                <c:pt idx="22">
                  <c:v>0.14693250000000002</c:v>
                </c:pt>
                <c:pt idx="23">
                  <c:v>0.13974</c:v>
                </c:pt>
                <c:pt idx="24">
                  <c:v>0.13254750000000001</c:v>
                </c:pt>
                <c:pt idx="25">
                  <c:v>0.12535500000000002</c:v>
                </c:pt>
                <c:pt idx="26">
                  <c:v>0.11816250000000002</c:v>
                </c:pt>
                <c:pt idx="27">
                  <c:v>0.11097000000000001</c:v>
                </c:pt>
                <c:pt idx="28">
                  <c:v>0.10377749999999999</c:v>
                </c:pt>
                <c:pt idx="29">
                  <c:v>9.658499999999999E-2</c:v>
                </c:pt>
                <c:pt idx="30">
                  <c:v>8.9392500000000027E-2</c:v>
                </c:pt>
                <c:pt idx="31">
                  <c:v>8.2200000000000023E-2</c:v>
                </c:pt>
                <c:pt idx="32">
                  <c:v>7.5007500000000019E-2</c:v>
                </c:pt>
                <c:pt idx="33">
                  <c:v>6.7815000000000014E-2</c:v>
                </c:pt>
                <c:pt idx="34">
                  <c:v>6.0622500000000003E-2</c:v>
                </c:pt>
                <c:pt idx="35">
                  <c:v>5.3429999999999998E-2</c:v>
                </c:pt>
                <c:pt idx="36">
                  <c:v>4.6237500000000036E-2</c:v>
                </c:pt>
                <c:pt idx="37">
                  <c:v>3.9045000000000024E-2</c:v>
                </c:pt>
                <c:pt idx="38">
                  <c:v>3.185250000000002E-2</c:v>
                </c:pt>
                <c:pt idx="39">
                  <c:v>2.4660000000000015E-2</c:v>
                </c:pt>
                <c:pt idx="40">
                  <c:v>1.7467500000000007E-2</c:v>
                </c:pt>
                <c:pt idx="41">
                  <c:v>1.0275000000000003E-2</c:v>
                </c:pt>
                <c:pt idx="42">
                  <c:v>3.0825000000000366E-3</c:v>
                </c:pt>
                <c:pt idx="43">
                  <c:v>-4.1099999999999696E-3</c:v>
                </c:pt>
                <c:pt idx="44">
                  <c:v>-1.1302499999999976E-2</c:v>
                </c:pt>
                <c:pt idx="45">
                  <c:v>-1.849499999999998E-2</c:v>
                </c:pt>
                <c:pt idx="46">
                  <c:v>-2.5687499999999988E-2</c:v>
                </c:pt>
                <c:pt idx="47">
                  <c:v>-3.2879999999999993E-2</c:v>
                </c:pt>
                <c:pt idx="48">
                  <c:v>-4.0072499999999962E-2</c:v>
                </c:pt>
                <c:pt idx="49">
                  <c:v>-4.7264999999999967E-2</c:v>
                </c:pt>
                <c:pt idx="50">
                  <c:v>-5.4457499999999971E-2</c:v>
                </c:pt>
                <c:pt idx="51">
                  <c:v>-6.1649999999999976E-2</c:v>
                </c:pt>
                <c:pt idx="52">
                  <c:v>-6.8842499999999987E-2</c:v>
                </c:pt>
                <c:pt idx="53">
                  <c:v>-7.6034999999999991E-2</c:v>
                </c:pt>
                <c:pt idx="54">
                  <c:v>-8.3227499999999996E-2</c:v>
                </c:pt>
                <c:pt idx="55">
                  <c:v>-9.042E-2</c:v>
                </c:pt>
                <c:pt idx="56">
                  <c:v>-9.7612500000000005E-2</c:v>
                </c:pt>
                <c:pt idx="57">
                  <c:v>-0.10480500000000001</c:v>
                </c:pt>
                <c:pt idx="58">
                  <c:v>-0.11199749999999994</c:v>
                </c:pt>
                <c:pt idx="59">
                  <c:v>-0.11918999999999995</c:v>
                </c:pt>
                <c:pt idx="60">
                  <c:v>-0.12638249999999995</c:v>
                </c:pt>
                <c:pt idx="61">
                  <c:v>-0.13357499999999994</c:v>
                </c:pt>
                <c:pt idx="62">
                  <c:v>-0.14076749999999996</c:v>
                </c:pt>
                <c:pt idx="63">
                  <c:v>-0.14795999999999998</c:v>
                </c:pt>
                <c:pt idx="64">
                  <c:v>-0.15515249999999997</c:v>
                </c:pt>
                <c:pt idx="65">
                  <c:v>-0.16234499999999999</c:v>
                </c:pt>
                <c:pt idx="66">
                  <c:v>-0.16953749999999998</c:v>
                </c:pt>
                <c:pt idx="67">
                  <c:v>-0.17673</c:v>
                </c:pt>
                <c:pt idx="68">
                  <c:v>-0.18392249999999999</c:v>
                </c:pt>
                <c:pt idx="69">
                  <c:v>-0.19111500000000001</c:v>
                </c:pt>
                <c:pt idx="70">
                  <c:v>-0.19830749999999994</c:v>
                </c:pt>
                <c:pt idx="71">
                  <c:v>-0.20549999999999993</c:v>
                </c:pt>
                <c:pt idx="72">
                  <c:v>-0.21269249999999995</c:v>
                </c:pt>
                <c:pt idx="73">
                  <c:v>-0.21988499999999994</c:v>
                </c:pt>
                <c:pt idx="74">
                  <c:v>-0.22707749999999996</c:v>
                </c:pt>
                <c:pt idx="75">
                  <c:v>-0.23426999999999995</c:v>
                </c:pt>
                <c:pt idx="76">
                  <c:v>-0.24146249999999997</c:v>
                </c:pt>
                <c:pt idx="77">
                  <c:v>-0.24865499999999996</c:v>
                </c:pt>
                <c:pt idx="78">
                  <c:v>-0.25584750000000001</c:v>
                </c:pt>
                <c:pt idx="79">
                  <c:v>-0.26304</c:v>
                </c:pt>
                <c:pt idx="80">
                  <c:v>-0.27023249999999999</c:v>
                </c:pt>
                <c:pt idx="81">
                  <c:v>-0.27742499999999998</c:v>
                </c:pt>
                <c:pt idx="82">
                  <c:v>-0.28461750000000002</c:v>
                </c:pt>
                <c:pt idx="83">
                  <c:v>-0.2918099999999999</c:v>
                </c:pt>
                <c:pt idx="84">
                  <c:v>-0.29900249999999995</c:v>
                </c:pt>
                <c:pt idx="85">
                  <c:v>-0.30619499999999994</c:v>
                </c:pt>
                <c:pt idx="86">
                  <c:v>-0.31338749999999993</c:v>
                </c:pt>
                <c:pt idx="87">
                  <c:v>-0.32057999999999998</c:v>
                </c:pt>
                <c:pt idx="88">
                  <c:v>-0.32777249999999997</c:v>
                </c:pt>
                <c:pt idx="89">
                  <c:v>-0.33496499999999996</c:v>
                </c:pt>
                <c:pt idx="90">
                  <c:v>-0.34215749999999995</c:v>
                </c:pt>
                <c:pt idx="91">
                  <c:v>-0.34934999999999999</c:v>
                </c:pt>
                <c:pt idx="92">
                  <c:v>-0.35654249999999998</c:v>
                </c:pt>
                <c:pt idx="93">
                  <c:v>-0.36373500000000003</c:v>
                </c:pt>
                <c:pt idx="94">
                  <c:v>-0.37092750000000002</c:v>
                </c:pt>
                <c:pt idx="95">
                  <c:v>-0.3781199999999999</c:v>
                </c:pt>
                <c:pt idx="96">
                  <c:v>-0.38531249999999989</c:v>
                </c:pt>
                <c:pt idx="97">
                  <c:v>-0.39250499999999988</c:v>
                </c:pt>
                <c:pt idx="98">
                  <c:v>-0.39969749999999987</c:v>
                </c:pt>
                <c:pt idx="99">
                  <c:v>-0.40688999999999992</c:v>
                </c:pt>
                <c:pt idx="100">
                  <c:v>-0.41408249999999991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84C9156C-BC27-4878-828C-95F1279B0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200263"/>
        <c:axId val="734605832"/>
      </c:lineChart>
      <c:catAx>
        <c:axId val="831200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X_cg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05832"/>
        <c:crosses val="autoZero"/>
        <c:auto val="1"/>
        <c:lblAlgn val="ctr"/>
        <c:lblOffset val="100"/>
        <c:tickLblSkip val="10"/>
        <c:tickMarkSkip val="1"/>
        <c:noMultiLvlLbl val="0"/>
      </c:catAx>
      <c:valAx>
        <c:axId val="7346058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200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4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4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CRJ-EXX MTOW Distribution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ofPieChart>
        <c:ofPieType val="pie"/>
        <c:varyColors val="1"/>
        <c:ser>
          <c:idx val="1"/>
          <c:order val="0"/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57-1D91-40A5-87D0-3301DBD53F4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3F1-425B-A147-6FC96323A08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3F1-425B-A147-6FC96323A0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1D91-40A5-87D0-3301DBD53F4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3F1-425B-A147-6FC96323A08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3F1-425B-A147-6FC96323A08C}"/>
                </c:ext>
              </c:extLst>
            </c:dLbl>
            <c:dLbl>
              <c:idx val="5"/>
              <c:layout>
                <c:manualLayout>
                  <c:x val="7.0699487364266997E-2"/>
                  <c:y val="0.452740230387868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Max Payload</a:t>
                    </a:r>
                  </a:p>
                  <a:p>
                    <a:endParaRPr lang="en-US"/>
                  </a:p>
                </c:rich>
              </c:tx>
              <c:dLblPos val="bestFit"/>
              <c:showLegendKey val="1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C3F1-425B-A147-6FC96323A08C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1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('2.a_2)_RIK'!$Z$16:$Z$17,'2.a_2)_RIK'!$Z$19:$Z$21)</c:f>
              <c:strCache>
                <c:ptCount val="5"/>
                <c:pt idx="0">
                  <c:v>OEW</c:v>
                </c:pt>
                <c:pt idx="1">
                  <c:v>Fuel weight @ max payload</c:v>
                </c:pt>
                <c:pt idx="2">
                  <c:v>Pax&amp;cabin luggage</c:v>
                </c:pt>
                <c:pt idx="3">
                  <c:v>Front cargo hold</c:v>
                </c:pt>
                <c:pt idx="4">
                  <c:v>Aft cargo hold</c:v>
                </c:pt>
              </c:strCache>
            </c:strRef>
          </c:cat>
          <c:val>
            <c:numRef>
              <c:f>('2.a_2)_RIK'!$AB$7:$AB$8,'2.a_2)_RIK'!$AB$10:$AB$12)</c:f>
              <c:numCache>
                <c:formatCode>General</c:formatCode>
                <c:ptCount val="5"/>
                <c:pt idx="0">
                  <c:v>26209</c:v>
                </c:pt>
                <c:pt idx="1">
                  <c:v>1923.6399999999994</c:v>
                </c:pt>
                <c:pt idx="2">
                  <c:v>8093.36</c:v>
                </c:pt>
                <c:pt idx="3">
                  <c:v>962</c:v>
                </c:pt>
                <c:pt idx="4">
                  <c:v>1807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1D91-40A5-87D0-3301DBD53F41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1D91-40A5-87D0-3301DBD53F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A-1D91-40A5-87D0-3301DBD53F41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1D91-40A5-87D0-3301DBD53F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C-1D91-40A5-87D0-3301DBD53F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1D91-40A5-87D0-3301DBD53F4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E-1D91-40A5-87D0-3301DBD53F41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('2.a_2)_RIK'!$Z$16:$Z$17,'2.a_2)_RIK'!$Z$19:$Z$21)</c:f>
              <c:strCache>
                <c:ptCount val="5"/>
                <c:pt idx="0">
                  <c:v>OEW</c:v>
                </c:pt>
                <c:pt idx="1">
                  <c:v>Fuel weight @ max payload</c:v>
                </c:pt>
                <c:pt idx="2">
                  <c:v>Pax&amp;cabin luggage</c:v>
                </c:pt>
                <c:pt idx="3">
                  <c:v>Front cargo hold</c:v>
                </c:pt>
                <c:pt idx="4">
                  <c:v>Aft cargo hold</c:v>
                </c:pt>
              </c:strCache>
            </c:strRef>
          </c:cat>
          <c:val>
            <c:numRef>
              <c:f>('2.a_2)_RIK'!$AB$7:$AB$8,'2.a_2)_RIK'!$AB$10:$AB$12)</c:f>
              <c:numCache>
                <c:formatCode>General</c:formatCode>
                <c:ptCount val="5"/>
                <c:pt idx="0">
                  <c:v>26209</c:v>
                </c:pt>
                <c:pt idx="1">
                  <c:v>1923.6399999999994</c:v>
                </c:pt>
                <c:pt idx="2">
                  <c:v>8093.36</c:v>
                </c:pt>
                <c:pt idx="3">
                  <c:v>962</c:v>
                </c:pt>
                <c:pt idx="4">
                  <c:v>1807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1D91-40A5-87D0-3301DBD53F41}"/>
            </c:ext>
          </c:extLst>
        </c:ser>
        <c:ser>
          <c:idx val="3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0-1D91-40A5-87D0-3301DBD53F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1D91-40A5-87D0-3301DBD53F41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2-1D91-40A5-87D0-3301DBD53F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1D91-40A5-87D0-3301DBD53F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4-1D91-40A5-87D0-3301DBD53F4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1D91-40A5-87D0-3301DBD53F41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('2.a_2)_RIK'!$Z$16:$Z$17,'2.a_2)_RIK'!$Z$19:$Z$21)</c:f>
              <c:strCache>
                <c:ptCount val="5"/>
                <c:pt idx="0">
                  <c:v>OEW</c:v>
                </c:pt>
                <c:pt idx="1">
                  <c:v>Fuel weight @ max payload</c:v>
                </c:pt>
                <c:pt idx="2">
                  <c:v>Pax&amp;cabin luggage</c:v>
                </c:pt>
                <c:pt idx="3">
                  <c:v>Front cargo hold</c:v>
                </c:pt>
                <c:pt idx="4">
                  <c:v>Aft cargo hold</c:v>
                </c:pt>
              </c:strCache>
            </c:strRef>
          </c:cat>
          <c:val>
            <c:numRef>
              <c:f>('2.a_2)_RIK'!$AB$7:$AB$8,'2.a_2)_RIK'!$AB$10:$AB$12)</c:f>
              <c:numCache>
                <c:formatCode>General</c:formatCode>
                <c:ptCount val="5"/>
                <c:pt idx="0">
                  <c:v>26209</c:v>
                </c:pt>
                <c:pt idx="1">
                  <c:v>1923.6399999999994</c:v>
                </c:pt>
                <c:pt idx="2">
                  <c:v>8093.36</c:v>
                </c:pt>
                <c:pt idx="3">
                  <c:v>962</c:v>
                </c:pt>
                <c:pt idx="4">
                  <c:v>1807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1D91-40A5-87D0-3301DBD53F41}"/>
            </c:ext>
          </c:extLst>
        </c:ser>
        <c:ser>
          <c:idx val="0"/>
          <c:order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A-1D91-40A5-87D0-3301DBD53F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C-1D91-40A5-87D0-3301DBD53F41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E-1D91-40A5-87D0-3301DBD53F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0-1D91-40A5-87D0-3301DBD53F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2-1D91-40A5-87D0-3301DBD53F4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4-1D91-40A5-87D0-3301DBD53F41}"/>
              </c:ext>
            </c:extLst>
          </c:dPt>
          <c:dLbls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Max</a:t>
                    </a:r>
                    <a:r>
                      <a:rPr lang="en-US" baseline="0"/>
                      <a:t> payload</a:t>
                    </a:r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1D91-40A5-87D0-3301DBD53F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('2.a_2)_RIK'!$Z$16:$Z$17,'2.a_2)_RIK'!$Z$19:$Z$21)</c:f>
              <c:strCache>
                <c:ptCount val="5"/>
                <c:pt idx="0">
                  <c:v>OEW</c:v>
                </c:pt>
                <c:pt idx="1">
                  <c:v>Fuel weight @ max payload</c:v>
                </c:pt>
                <c:pt idx="2">
                  <c:v>Pax&amp;cabin luggage</c:v>
                </c:pt>
                <c:pt idx="3">
                  <c:v>Front cargo hold</c:v>
                </c:pt>
                <c:pt idx="4">
                  <c:v>Aft cargo hold</c:v>
                </c:pt>
              </c:strCache>
            </c:strRef>
          </c:cat>
          <c:val>
            <c:numRef>
              <c:f>('2.a_2)_RIK'!$AB$7:$AB$8,'2.a_2)_RIK'!$AB$10:$AB$12)</c:f>
              <c:numCache>
                <c:formatCode>General</c:formatCode>
                <c:ptCount val="5"/>
                <c:pt idx="0">
                  <c:v>26209</c:v>
                </c:pt>
                <c:pt idx="1">
                  <c:v>1923.6399999999994</c:v>
                </c:pt>
                <c:pt idx="2">
                  <c:v>8093.36</c:v>
                </c:pt>
                <c:pt idx="3">
                  <c:v>962</c:v>
                </c:pt>
                <c:pt idx="4">
                  <c:v>1807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1D91-40A5-87D0-3301DBD53F4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100"/>
        <c:splitType val="cust"/>
        <c:custSplit>
          <c:secondPiePt val="2"/>
          <c:secondPiePt val="3"/>
          <c:secondPiePt val="4"/>
        </c:custSplit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</c:plotArea>
    <c:legend>
      <c:legendPos val="b"/>
      <c:layout>
        <c:manualLayout>
          <c:xMode val="edge"/>
          <c:yMode val="edge"/>
          <c:x val="0.1635833289993662"/>
          <c:y val="0.65394101778944302"/>
          <c:w val="0.7795295690816092"/>
          <c:h val="0.24122896566773505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174625</xdr:colOff>
      <xdr:row>1</xdr:row>
      <xdr:rowOff>57150</xdr:rowOff>
    </xdr:from>
    <xdr:to>
      <xdr:col>13</xdr:col>
      <xdr:colOff>479425</xdr:colOff>
      <xdr:row>12</xdr:row>
      <xdr:rowOff>31750</xdr:rowOff>
    </xdr:to>
    <xdr:graphicFrame macro="">
      <xdr:nvGraphicFramePr>
        <xdr:cNvPr id="139" name="Chart 1">
          <a:extLst>
            <a:ext uri="{FF2B5EF4-FFF2-40B4-BE49-F238E27FC236}">
              <a16:creationId xmlns:a16="http://schemas.microsoft.com/office/drawing/2014/main" id="{C433078E-DA82-873F-F7E7-5FF93D132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61395</xdr:colOff>
      <xdr:row>11</xdr:row>
      <xdr:rowOff>19296</xdr:rowOff>
    </xdr:from>
    <xdr:to>
      <xdr:col>10</xdr:col>
      <xdr:colOff>124544</xdr:colOff>
      <xdr:row>11</xdr:row>
      <xdr:rowOff>82445</xdr:rowOff>
    </xdr:to>
    <xdr:sp macro="" textlink="">
      <xdr:nvSpPr>
        <xdr:cNvPr id="56" name="Rectangle 34">
          <a:extLst>
            <a:ext uri="{FF2B5EF4-FFF2-40B4-BE49-F238E27FC236}">
              <a16:creationId xmlns:a16="http://schemas.microsoft.com/office/drawing/2014/main" id="{F9326983-48CE-6E0A-FB91-9E99BAC55EE9}"/>
            </a:ext>
          </a:extLst>
        </xdr:cNvPr>
        <xdr:cNvSpPr/>
      </xdr:nvSpPr>
      <xdr:spPr>
        <a:xfrm>
          <a:off x="6767486" y="2743481"/>
          <a:ext cx="63149" cy="63149"/>
        </a:xfrm>
        <a:prstGeom prst="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64720</xdr:colOff>
      <xdr:row>10</xdr:row>
      <xdr:rowOff>109228</xdr:rowOff>
    </xdr:from>
    <xdr:to>
      <xdr:col>11</xdr:col>
      <xdr:colOff>368147</xdr:colOff>
      <xdr:row>11</xdr:row>
      <xdr:rowOff>151104</xdr:rowOff>
    </xdr:to>
    <xdr:sp macro="" textlink="">
      <xdr:nvSpPr>
        <xdr:cNvPr id="63" name="TextBox 1">
          <a:extLst>
            <a:ext uri="{FF2B5EF4-FFF2-40B4-BE49-F238E27FC236}">
              <a16:creationId xmlns:a16="http://schemas.microsoft.com/office/drawing/2014/main" id="{A5BE96E0-2C33-C769-8780-95B07B21B436}"/>
            </a:ext>
          </a:extLst>
        </xdr:cNvPr>
        <xdr:cNvSpPr txBox="1"/>
      </xdr:nvSpPr>
      <xdr:spPr>
        <a:xfrm>
          <a:off x="6770811" y="2649228"/>
          <a:ext cx="913869" cy="2260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900">
              <a:solidFill>
                <a:schemeClr val="tx1">
                  <a:lumMod val="65000"/>
                  <a:lumOff val="35000"/>
                </a:schemeClr>
              </a:solidFill>
            </a:rPr>
            <a:t>Max payload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73822</xdr:colOff>
      <xdr:row>28</xdr:row>
      <xdr:rowOff>165670</xdr:rowOff>
    </xdr:from>
    <xdr:to>
      <xdr:col>19</xdr:col>
      <xdr:colOff>381649</xdr:colOff>
      <xdr:row>43</xdr:row>
      <xdr:rowOff>143176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E317BDD-67E2-7AC5-6859-56E40FCB6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26336" y="5467013"/>
          <a:ext cx="4392147" cy="2743565"/>
        </a:xfrm>
        <a:prstGeom prst="rect">
          <a:avLst/>
        </a:prstGeom>
      </xdr:spPr>
    </xdr:pic>
    <xdr:clientData/>
  </xdr:twoCellAnchor>
  <xdr:twoCellAnchor editAs="oneCell">
    <xdr:from>
      <xdr:col>7</xdr:col>
      <xdr:colOff>241301</xdr:colOff>
      <xdr:row>40</xdr:row>
      <xdr:rowOff>65679</xdr:rowOff>
    </xdr:from>
    <xdr:to>
      <xdr:col>11</xdr:col>
      <xdr:colOff>434339</xdr:colOff>
      <xdr:row>49</xdr:row>
      <xdr:rowOff>106663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0468E44A-276B-3FD3-23EA-12BBA6F57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530" y="7783650"/>
          <a:ext cx="3850638" cy="1702144"/>
        </a:xfrm>
        <a:prstGeom prst="rect">
          <a:avLst/>
        </a:prstGeom>
      </xdr:spPr>
    </xdr:pic>
    <xdr:clientData/>
  </xdr:twoCellAnchor>
  <xdr:twoCellAnchor editAs="oneCell">
    <xdr:from>
      <xdr:col>7</xdr:col>
      <xdr:colOff>200298</xdr:colOff>
      <xdr:row>50</xdr:row>
      <xdr:rowOff>15603</xdr:rowOff>
    </xdr:from>
    <xdr:to>
      <xdr:col>11</xdr:col>
      <xdr:colOff>22133</xdr:colOff>
      <xdr:row>62</xdr:row>
      <xdr:rowOff>18611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11B9BAC5-B218-E653-D160-C5CF20175E8F}"/>
            </a:ext>
            <a:ext uri="{147F2762-F138-4A5C-976F-8EAC2B608ADB}">
              <a16:predDERef xmlns:a16="http://schemas.microsoft.com/office/drawing/2014/main" pred="{0468E44A-276B-3FD3-23EA-12BBA6F57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98527" y="9605917"/>
          <a:ext cx="3479435" cy="2220429"/>
        </a:xfrm>
        <a:prstGeom prst="rect">
          <a:avLst/>
        </a:prstGeom>
      </xdr:spPr>
    </xdr:pic>
    <xdr:clientData/>
  </xdr:twoCellAnchor>
  <xdr:twoCellAnchor editAs="oneCell">
    <xdr:from>
      <xdr:col>22</xdr:col>
      <xdr:colOff>543044</xdr:colOff>
      <xdr:row>18</xdr:row>
      <xdr:rowOff>27700</xdr:rowOff>
    </xdr:from>
    <xdr:to>
      <xdr:col>29</xdr:col>
      <xdr:colOff>462438</xdr:colOff>
      <xdr:row>26</xdr:row>
      <xdr:rowOff>39813</xdr:rowOff>
    </xdr:to>
    <xdr:pic>
      <xdr:nvPicPr>
        <xdr:cNvPr id="37" name="Picture 5">
          <a:extLst>
            <a:ext uri="{FF2B5EF4-FFF2-40B4-BE49-F238E27FC236}">
              <a16:creationId xmlns:a16="http://schemas.microsoft.com/office/drawing/2014/main" id="{66059104-CEB3-D183-E47D-6939FD714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617931" y="3380500"/>
          <a:ext cx="4186594" cy="24824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21</xdr:row>
      <xdr:rowOff>0</xdr:rowOff>
    </xdr:from>
    <xdr:to>
      <xdr:col>5</xdr:col>
      <xdr:colOff>209550</xdr:colOff>
      <xdr:row>36</xdr:row>
      <xdr:rowOff>28575</xdr:rowOff>
    </xdr:to>
    <xdr:graphicFrame macro="">
      <xdr:nvGraphicFramePr>
        <xdr:cNvPr id="14" name="Gráfico 3" descr="Tipo de gráfico: Líneas. &quot;Sh/S (stab)&quot;, &quot;Sh/S (control)&quot; por &quot;X_cg&quot;&#10;&#10;Descripción generada automáticamente">
          <a:extLst>
            <a:ext uri="{FF2B5EF4-FFF2-40B4-BE49-F238E27FC236}">
              <a16:creationId xmlns:a16="http://schemas.microsoft.com/office/drawing/2014/main" id="{D7532ED1-6C61-91F5-2F7C-53896EB4F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72571</xdr:colOff>
      <xdr:row>9</xdr:row>
      <xdr:rowOff>234044</xdr:rowOff>
    </xdr:from>
    <xdr:to>
      <xdr:col>35</xdr:col>
      <xdr:colOff>426357</xdr:colOff>
      <xdr:row>22</xdr:row>
      <xdr:rowOff>13911</xdr:rowOff>
    </xdr:to>
    <xdr:graphicFrame macro="">
      <xdr:nvGraphicFramePr>
        <xdr:cNvPr id="270" name="Chart 26">
          <a:extLst>
            <a:ext uri="{FF2B5EF4-FFF2-40B4-BE49-F238E27FC236}">
              <a16:creationId xmlns:a16="http://schemas.microsoft.com/office/drawing/2014/main" id="{82E62DB1-D6A8-607D-CFB4-CE2A5BBC3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K26"/>
  <sheetViews>
    <sheetView zoomScale="85" zoomScaleNormal="85" workbookViewId="0">
      <selection activeCell="I7" sqref="I7"/>
    </sheetView>
  </sheetViews>
  <sheetFormatPr defaultRowHeight="14.4" x14ac:dyDescent="0.3"/>
  <cols>
    <col min="3" max="3" width="2.5546875" customWidth="1"/>
    <col min="4" max="4" width="2.88671875" customWidth="1"/>
    <col min="5" max="5" width="2.109375" customWidth="1"/>
    <col min="7" max="7" width="37.5546875" customWidth="1"/>
    <col min="8" max="8" width="32.6640625" bestFit="1" customWidth="1"/>
    <col min="9" max="9" width="12.109375" customWidth="1"/>
    <col min="10" max="10" width="11.44140625" customWidth="1"/>
  </cols>
  <sheetData>
    <row r="1" spans="3:11" ht="15" thickBot="1" x14ac:dyDescent="0.35"/>
    <row r="2" spans="3:11" ht="15" thickBot="1" x14ac:dyDescent="0.35">
      <c r="C2" s="126" t="s">
        <v>0</v>
      </c>
      <c r="D2" s="127"/>
      <c r="E2" s="127"/>
      <c r="F2" s="127"/>
      <c r="G2" s="127"/>
      <c r="H2" s="5" t="s">
        <v>1</v>
      </c>
      <c r="I2" s="5" t="s">
        <v>2</v>
      </c>
      <c r="J2" s="6" t="s">
        <v>3</v>
      </c>
    </row>
    <row r="3" spans="3:11" ht="37.200000000000003" customHeight="1" x14ac:dyDescent="0.3">
      <c r="C3" s="119" t="s">
        <v>4</v>
      </c>
      <c r="D3" s="120"/>
      <c r="E3" s="120"/>
      <c r="F3" s="120"/>
      <c r="G3" s="120"/>
      <c r="H3" s="15"/>
      <c r="I3" s="7" t="s">
        <v>5</v>
      </c>
      <c r="J3" s="14" t="s">
        <v>6</v>
      </c>
    </row>
    <row r="4" spans="3:11" x14ac:dyDescent="0.3">
      <c r="C4" s="1" t="s">
        <v>7</v>
      </c>
      <c r="D4" s="121" t="s">
        <v>8</v>
      </c>
      <c r="E4" s="121"/>
      <c r="F4" s="121"/>
      <c r="G4" s="121"/>
      <c r="H4" s="16" t="s">
        <v>9</v>
      </c>
      <c r="I4" s="12">
        <v>0.75</v>
      </c>
      <c r="J4" s="13" t="s">
        <v>6</v>
      </c>
      <c r="K4" t="s">
        <v>10</v>
      </c>
    </row>
    <row r="5" spans="3:11" x14ac:dyDescent="0.3">
      <c r="C5" s="1" t="s">
        <v>11</v>
      </c>
      <c r="D5" s="121" t="s">
        <v>12</v>
      </c>
      <c r="E5" s="121"/>
      <c r="F5" s="121"/>
      <c r="G5" s="121"/>
      <c r="H5" s="16" t="s">
        <v>296</v>
      </c>
      <c r="I5" s="8" t="s">
        <v>13</v>
      </c>
      <c r="J5" s="13" t="s">
        <v>13</v>
      </c>
    </row>
    <row r="6" spans="3:11" x14ac:dyDescent="0.3">
      <c r="C6" s="128" t="s">
        <v>14</v>
      </c>
      <c r="D6" s="129"/>
      <c r="E6" s="117" t="s">
        <v>15</v>
      </c>
      <c r="F6" s="117"/>
      <c r="G6" s="117"/>
      <c r="H6" s="16" t="s">
        <v>296</v>
      </c>
      <c r="I6" s="12" t="s">
        <v>13</v>
      </c>
      <c r="J6" s="9" t="s">
        <v>13</v>
      </c>
    </row>
    <row r="7" spans="3:11" x14ac:dyDescent="0.3">
      <c r="C7" s="128" t="s">
        <v>16</v>
      </c>
      <c r="D7" s="129"/>
      <c r="E7" s="117" t="s">
        <v>17</v>
      </c>
      <c r="F7" s="117"/>
      <c r="G7" s="117"/>
      <c r="H7" s="16" t="s">
        <v>296</v>
      </c>
      <c r="I7" s="8" t="s">
        <v>13</v>
      </c>
      <c r="J7" s="9" t="s">
        <v>13</v>
      </c>
    </row>
    <row r="8" spans="3:11" ht="15.6" customHeight="1" x14ac:dyDescent="0.3">
      <c r="C8" s="2" t="s">
        <v>18</v>
      </c>
      <c r="D8" s="116" t="s">
        <v>19</v>
      </c>
      <c r="E8" s="116"/>
      <c r="F8" s="116"/>
      <c r="G8" s="116"/>
      <c r="H8" s="16" t="s">
        <v>20</v>
      </c>
      <c r="I8" s="12" t="s">
        <v>13</v>
      </c>
      <c r="J8" s="13" t="s">
        <v>6</v>
      </c>
    </row>
    <row r="9" spans="3:11" x14ac:dyDescent="0.3">
      <c r="C9" s="128" t="s">
        <v>14</v>
      </c>
      <c r="D9" s="129"/>
      <c r="E9" s="117" t="s">
        <v>21</v>
      </c>
      <c r="F9" s="117"/>
      <c r="G9" s="117"/>
      <c r="H9" s="16" t="s">
        <v>20</v>
      </c>
      <c r="I9" s="12" t="s">
        <v>13</v>
      </c>
      <c r="J9" s="13">
        <v>0.25</v>
      </c>
    </row>
    <row r="10" spans="3:11" ht="19.2" customHeight="1" x14ac:dyDescent="0.3">
      <c r="C10" s="128" t="s">
        <v>16</v>
      </c>
      <c r="D10" s="129"/>
      <c r="E10" s="118" t="s">
        <v>22</v>
      </c>
      <c r="F10" s="118"/>
      <c r="G10" s="118"/>
      <c r="H10" s="16" t="s">
        <v>20</v>
      </c>
      <c r="I10" s="12" t="s">
        <v>13</v>
      </c>
      <c r="J10" s="9" t="s">
        <v>6</v>
      </c>
    </row>
    <row r="11" spans="3:11" ht="16.2" customHeight="1" x14ac:dyDescent="0.3">
      <c r="C11" s="122" t="s">
        <v>23</v>
      </c>
      <c r="D11" s="123"/>
      <c r="E11" s="124"/>
      <c r="F11" s="118" t="s">
        <v>24</v>
      </c>
      <c r="G11" s="118"/>
      <c r="H11" s="16" t="s">
        <v>20</v>
      </c>
      <c r="I11" s="8" t="s">
        <v>13</v>
      </c>
      <c r="J11" s="13" t="s">
        <v>6</v>
      </c>
    </row>
    <row r="12" spans="3:11" ht="14.4" customHeight="1" x14ac:dyDescent="0.3">
      <c r="C12" s="122" t="s">
        <v>25</v>
      </c>
      <c r="D12" s="123"/>
      <c r="E12" s="124"/>
      <c r="F12" s="118" t="s">
        <v>26</v>
      </c>
      <c r="G12" s="118"/>
      <c r="H12" s="16" t="s">
        <v>20</v>
      </c>
      <c r="I12" s="8" t="s">
        <v>13</v>
      </c>
      <c r="J12" s="9" t="s">
        <v>6</v>
      </c>
    </row>
    <row r="13" spans="3:11" x14ac:dyDescent="0.3">
      <c r="C13" s="1" t="s">
        <v>27</v>
      </c>
      <c r="D13" s="134" t="s">
        <v>28</v>
      </c>
      <c r="E13" s="134"/>
      <c r="F13" s="134"/>
      <c r="G13" s="134"/>
      <c r="H13" s="16" t="s">
        <v>257</v>
      </c>
      <c r="I13" s="12">
        <v>0.75</v>
      </c>
      <c r="J13" s="9" t="s">
        <v>6</v>
      </c>
    </row>
    <row r="14" spans="3:11" ht="16.2" customHeight="1" x14ac:dyDescent="0.3">
      <c r="C14" s="2" t="s">
        <v>29</v>
      </c>
      <c r="D14" s="135" t="s">
        <v>30</v>
      </c>
      <c r="E14" s="135"/>
      <c r="F14" s="135"/>
      <c r="G14" s="135"/>
      <c r="H14" s="16" t="s">
        <v>31</v>
      </c>
      <c r="I14" s="8" t="s">
        <v>6</v>
      </c>
      <c r="J14" s="9" t="s">
        <v>6</v>
      </c>
    </row>
    <row r="15" spans="3:11" x14ac:dyDescent="0.3">
      <c r="C15" s="128" t="s">
        <v>14</v>
      </c>
      <c r="D15" s="129"/>
      <c r="E15" s="136" t="s">
        <v>32</v>
      </c>
      <c r="F15" s="136"/>
      <c r="G15" s="136"/>
      <c r="H15" s="16"/>
      <c r="I15" s="8" t="s">
        <v>6</v>
      </c>
      <c r="J15" s="9" t="s">
        <v>6</v>
      </c>
    </row>
    <row r="16" spans="3:11" ht="33" customHeight="1" x14ac:dyDescent="0.3">
      <c r="C16" s="2" t="s">
        <v>33</v>
      </c>
      <c r="D16" s="137" t="s">
        <v>34</v>
      </c>
      <c r="E16" s="137"/>
      <c r="F16" s="137"/>
      <c r="G16" s="137"/>
      <c r="H16" s="17" t="s">
        <v>303</v>
      </c>
      <c r="I16" s="107">
        <v>0.25</v>
      </c>
      <c r="J16" s="13">
        <v>0.25</v>
      </c>
    </row>
    <row r="17" spans="3:10" x14ac:dyDescent="0.3">
      <c r="C17" s="1" t="s">
        <v>35</v>
      </c>
      <c r="D17" s="134" t="s">
        <v>36</v>
      </c>
      <c r="E17" s="134"/>
      <c r="F17" s="134"/>
      <c r="G17" s="134"/>
      <c r="H17" s="16" t="s">
        <v>31</v>
      </c>
      <c r="I17" s="12">
        <v>0.25</v>
      </c>
      <c r="J17" s="9" t="s">
        <v>6</v>
      </c>
    </row>
    <row r="18" spans="3:10" ht="21" x14ac:dyDescent="0.3">
      <c r="C18" s="130" t="s">
        <v>37</v>
      </c>
      <c r="D18" s="131"/>
      <c r="E18" s="131"/>
      <c r="F18" s="131"/>
      <c r="G18" s="131"/>
      <c r="H18" s="16"/>
      <c r="I18" s="8" t="s">
        <v>6</v>
      </c>
      <c r="J18" s="9" t="s">
        <v>6</v>
      </c>
    </row>
    <row r="19" spans="3:10" ht="16.95" customHeight="1" x14ac:dyDescent="0.3">
      <c r="C19" s="2" t="s">
        <v>7</v>
      </c>
      <c r="D19" s="132" t="s">
        <v>38</v>
      </c>
      <c r="E19" s="132"/>
      <c r="F19" s="132"/>
      <c r="G19" s="132"/>
      <c r="H19" s="16" t="s">
        <v>39</v>
      </c>
      <c r="I19" s="12">
        <v>0.25</v>
      </c>
      <c r="J19" s="9" t="s">
        <v>6</v>
      </c>
    </row>
    <row r="20" spans="3:10" x14ac:dyDescent="0.3">
      <c r="C20" s="3" t="s">
        <v>11</v>
      </c>
      <c r="D20" s="133" t="s">
        <v>40</v>
      </c>
      <c r="E20" s="133"/>
      <c r="F20" s="133"/>
      <c r="G20" s="133"/>
      <c r="H20" s="16" t="s">
        <v>39</v>
      </c>
      <c r="I20" s="12">
        <v>0.75</v>
      </c>
      <c r="J20" s="9" t="s">
        <v>6</v>
      </c>
    </row>
    <row r="21" spans="3:10" x14ac:dyDescent="0.3">
      <c r="C21" s="3" t="s">
        <v>18</v>
      </c>
      <c r="D21" s="133" t="s">
        <v>41</v>
      </c>
      <c r="E21" s="133"/>
      <c r="F21" s="133"/>
      <c r="G21" s="133"/>
      <c r="H21" s="16"/>
      <c r="I21" s="8" t="s">
        <v>6</v>
      </c>
      <c r="J21" s="9" t="s">
        <v>6</v>
      </c>
    </row>
    <row r="22" spans="3:10" ht="15.6" customHeight="1" x14ac:dyDescent="0.3">
      <c r="C22" s="3" t="s">
        <v>27</v>
      </c>
      <c r="D22" s="132" t="s">
        <v>42</v>
      </c>
      <c r="E22" s="132"/>
      <c r="F22" s="132"/>
      <c r="G22" s="132"/>
      <c r="H22" s="16"/>
      <c r="I22" s="8" t="s">
        <v>6</v>
      </c>
      <c r="J22" s="13" t="s">
        <v>6</v>
      </c>
    </row>
    <row r="23" spans="3:10" ht="18" customHeight="1" x14ac:dyDescent="0.3">
      <c r="C23" s="3" t="s">
        <v>29</v>
      </c>
      <c r="D23" s="132" t="s">
        <v>43</v>
      </c>
      <c r="E23" s="132"/>
      <c r="F23" s="132"/>
      <c r="G23" s="132"/>
      <c r="H23" s="16"/>
      <c r="I23" s="8" t="s">
        <v>6</v>
      </c>
      <c r="J23" s="9" t="s">
        <v>6</v>
      </c>
    </row>
    <row r="24" spans="3:10" ht="29.4" customHeight="1" x14ac:dyDescent="0.3">
      <c r="C24" s="3" t="s">
        <v>33</v>
      </c>
      <c r="D24" s="132" t="s">
        <v>44</v>
      </c>
      <c r="E24" s="132"/>
      <c r="F24" s="132"/>
      <c r="G24" s="132"/>
      <c r="H24" s="16"/>
      <c r="I24" s="8" t="s">
        <v>6</v>
      </c>
      <c r="J24" s="9" t="s">
        <v>6</v>
      </c>
    </row>
    <row r="25" spans="3:10" ht="21" x14ac:dyDescent="0.3">
      <c r="C25" s="130" t="s">
        <v>45</v>
      </c>
      <c r="D25" s="131"/>
      <c r="E25" s="131"/>
      <c r="F25" s="131"/>
      <c r="G25" s="131"/>
      <c r="H25" s="16" t="s">
        <v>31</v>
      </c>
      <c r="I25" s="12">
        <v>0.5</v>
      </c>
      <c r="J25" s="9" t="s">
        <v>6</v>
      </c>
    </row>
    <row r="26" spans="3:10" ht="15" thickBot="1" x14ac:dyDescent="0.35">
      <c r="C26" s="4" t="s">
        <v>7</v>
      </c>
      <c r="D26" s="125" t="s">
        <v>46</v>
      </c>
      <c r="E26" s="125"/>
      <c r="F26" s="125"/>
      <c r="G26" s="125"/>
      <c r="H26" s="18" t="s">
        <v>31</v>
      </c>
      <c r="I26" s="10" t="s">
        <v>6</v>
      </c>
      <c r="J26" s="11" t="s">
        <v>6</v>
      </c>
    </row>
  </sheetData>
  <mergeCells count="32">
    <mergeCell ref="C12:E12"/>
    <mergeCell ref="C15:D15"/>
    <mergeCell ref="D24:G24"/>
    <mergeCell ref="C25:G25"/>
    <mergeCell ref="D16:G16"/>
    <mergeCell ref="D17:G17"/>
    <mergeCell ref="D26:G26"/>
    <mergeCell ref="C2:G2"/>
    <mergeCell ref="C6:D6"/>
    <mergeCell ref="C7:D7"/>
    <mergeCell ref="C9:D9"/>
    <mergeCell ref="C10:D10"/>
    <mergeCell ref="C18:G18"/>
    <mergeCell ref="D19:G19"/>
    <mergeCell ref="D20:G20"/>
    <mergeCell ref="D21:G21"/>
    <mergeCell ref="D22:G22"/>
    <mergeCell ref="D23:G23"/>
    <mergeCell ref="F12:G12"/>
    <mergeCell ref="D13:G13"/>
    <mergeCell ref="D14:G14"/>
    <mergeCell ref="E15:G15"/>
    <mergeCell ref="D8:G8"/>
    <mergeCell ref="E9:G9"/>
    <mergeCell ref="E10:G10"/>
    <mergeCell ref="F11:G11"/>
    <mergeCell ref="C3:G3"/>
    <mergeCell ref="D4:G4"/>
    <mergeCell ref="D5:G5"/>
    <mergeCell ref="E6:G6"/>
    <mergeCell ref="E7:G7"/>
    <mergeCell ref="C11:E11"/>
  </mergeCells>
  <conditionalFormatting sqref="I3:J26">
    <cfRule type="containsText" dxfId="4" priority="1" operator="containsText" text="Done">
      <formula>NOT(ISERROR(SEARCH("Done",I3)))</formula>
    </cfRule>
    <cfRule type="cellIs" dxfId="3" priority="2" operator="equal">
      <formula>0.75</formula>
    </cfRule>
    <cfRule type="cellIs" dxfId="2" priority="3" operator="equal">
      <formula>0.5</formula>
    </cfRule>
    <cfRule type="cellIs" dxfId="1" priority="4" operator="equal">
      <formula>0.25</formula>
    </cfRule>
    <cfRule type="containsText" dxfId="0" priority="5" operator="containsText" text="Not Started">
      <formula>NOT(ISERROR(SEARCH("Not Started",I3)))</formula>
    </cfRule>
  </conditionalFormatting>
  <dataValidations count="1">
    <dataValidation type="list" allowBlank="1" showInputMessage="1" showErrorMessage="1" errorTitle="NO!!!" error="WHAT THE FUCK DID I SAY" promptTitle="Use the dropdown menu" prompt="Dont write in the cells" sqref="I3:J26" xr:uid="{3AA163BD-D9D0-478B-BB66-3CCB1AFF7FCA}">
      <formula1>"Not Started, 25%, 50%, 75%, Done"</formula1>
    </dataValidation>
  </dataValidations>
  <pageMargins left="0.7" right="0.7" top="0.75" bottom="0.75" header="0.3" footer="0.3"/>
  <ignoredErrors>
    <ignoredError sqref="C11:C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F9C7-B542-407B-B4AD-E374BD50590C}">
  <dimension ref="B2:E18"/>
  <sheetViews>
    <sheetView zoomScale="69" workbookViewId="0">
      <selection activeCell="L27" sqref="L27"/>
    </sheetView>
  </sheetViews>
  <sheetFormatPr defaultRowHeight="14.4" x14ac:dyDescent="0.3"/>
  <cols>
    <col min="3" max="3" width="17.33203125" customWidth="1"/>
  </cols>
  <sheetData>
    <row r="2" spans="2:5" x14ac:dyDescent="0.3">
      <c r="D2" t="s">
        <v>47</v>
      </c>
      <c r="E2" t="s">
        <v>48</v>
      </c>
    </row>
    <row r="3" spans="2:5" x14ac:dyDescent="0.3">
      <c r="B3" s="108" t="s">
        <v>49</v>
      </c>
      <c r="C3" s="108"/>
      <c r="D3">
        <v>38995</v>
      </c>
      <c r="E3">
        <f t="shared" ref="E3:E9" si="0">(D3/$D$3)*100</f>
        <v>100</v>
      </c>
    </row>
    <row r="4" spans="2:5" x14ac:dyDescent="0.3">
      <c r="B4" s="108" t="s">
        <v>50</v>
      </c>
      <c r="C4" s="108"/>
      <c r="D4">
        <v>23188</v>
      </c>
      <c r="E4">
        <f>(D4/$D$3)*100</f>
        <v>59.464033850493657</v>
      </c>
    </row>
    <row r="5" spans="2:5" x14ac:dyDescent="0.3">
      <c r="B5" s="109" t="s">
        <v>51</v>
      </c>
      <c r="C5" s="108"/>
      <c r="D5">
        <v>3841</v>
      </c>
      <c r="E5">
        <f t="shared" si="0"/>
        <v>9.8499807667649701</v>
      </c>
    </row>
    <row r="6" spans="2:5" ht="69.599999999999994" customHeight="1" x14ac:dyDescent="0.3">
      <c r="B6" s="110" t="s">
        <v>52</v>
      </c>
      <c r="C6" t="s">
        <v>52</v>
      </c>
      <c r="D6">
        <v>11966</v>
      </c>
      <c r="E6">
        <f>(D6/$D$3)*100</f>
        <v>30.685985382741375</v>
      </c>
    </row>
    <row r="7" spans="2:5" x14ac:dyDescent="0.3">
      <c r="B7" s="110"/>
      <c r="C7" s="19" t="s">
        <v>53</v>
      </c>
      <c r="D7">
        <f>D6-(D8+D9)</f>
        <v>9197</v>
      </c>
      <c r="E7">
        <f t="shared" si="0"/>
        <v>23.585075009616617</v>
      </c>
    </row>
    <row r="8" spans="2:5" x14ac:dyDescent="0.3">
      <c r="B8" s="110"/>
      <c r="C8" s="19" t="s">
        <v>54</v>
      </c>
      <c r="D8">
        <v>962</v>
      </c>
      <c r="E8">
        <f t="shared" si="0"/>
        <v>2.4669829465316067</v>
      </c>
    </row>
    <row r="9" spans="2:5" x14ac:dyDescent="0.3">
      <c r="B9" s="110"/>
      <c r="C9" s="19" t="s">
        <v>55</v>
      </c>
      <c r="D9">
        <v>1807</v>
      </c>
      <c r="E9">
        <f t="shared" si="0"/>
        <v>4.6339274265931527</v>
      </c>
    </row>
    <row r="10" spans="2:5" x14ac:dyDescent="0.3">
      <c r="B10" s="20"/>
      <c r="C10" s="19"/>
    </row>
    <row r="12" spans="2:5" x14ac:dyDescent="0.3">
      <c r="B12" t="s">
        <v>56</v>
      </c>
    </row>
    <row r="13" spans="2:5" x14ac:dyDescent="0.3">
      <c r="B13" t="s">
        <v>50</v>
      </c>
    </row>
    <row r="14" spans="2:5" x14ac:dyDescent="0.3">
      <c r="B14" t="s">
        <v>51</v>
      </c>
    </row>
    <row r="15" spans="2:5" x14ac:dyDescent="0.3">
      <c r="B15" t="s">
        <v>52</v>
      </c>
    </row>
    <row r="16" spans="2:5" x14ac:dyDescent="0.3">
      <c r="B16" t="s">
        <v>53</v>
      </c>
    </row>
    <row r="17" spans="2:2" x14ac:dyDescent="0.3">
      <c r="B17" t="s">
        <v>54</v>
      </c>
    </row>
    <row r="18" spans="2:2" x14ac:dyDescent="0.3">
      <c r="B18" t="s">
        <v>55</v>
      </c>
    </row>
  </sheetData>
  <mergeCells count="4">
    <mergeCell ref="B3:C3"/>
    <mergeCell ref="B4:C4"/>
    <mergeCell ref="B5:C5"/>
    <mergeCell ref="B6:B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9B941-C056-4618-837C-CF2FBE1DB970}">
  <dimension ref="B2:R84"/>
  <sheetViews>
    <sheetView zoomScale="65" zoomScaleNormal="70" workbookViewId="0">
      <selection activeCell="C6" sqref="C6"/>
    </sheetView>
  </sheetViews>
  <sheetFormatPr defaultRowHeight="14.4" x14ac:dyDescent="0.3"/>
  <cols>
    <col min="2" max="2" width="18.5546875" customWidth="1"/>
    <col min="3" max="3" width="26.5546875" customWidth="1"/>
    <col min="4" max="4" width="18.44140625" customWidth="1"/>
    <col min="5" max="5" width="19.5546875" customWidth="1"/>
    <col min="8" max="8" width="23" customWidth="1"/>
    <col min="9" max="9" width="11" customWidth="1"/>
    <col min="11" max="11" width="10.44140625" customWidth="1"/>
    <col min="12" max="12" width="22.88671875" customWidth="1"/>
    <col min="13" max="13" width="11.44140625" customWidth="1"/>
    <col min="14" max="14" width="15.109375" customWidth="1"/>
    <col min="15" max="15" width="20.44140625" customWidth="1"/>
    <col min="16" max="16" width="13.5546875" customWidth="1"/>
  </cols>
  <sheetData>
    <row r="2" spans="2:17" ht="15" thickBot="1" x14ac:dyDescent="0.35"/>
    <row r="3" spans="2:17" x14ac:dyDescent="0.3">
      <c r="B3" s="70" t="s">
        <v>57</v>
      </c>
      <c r="C3" s="71"/>
    </row>
    <row r="4" spans="2:17" ht="15" thickBot="1" x14ac:dyDescent="0.35">
      <c r="B4" s="72">
        <v>23188</v>
      </c>
      <c r="C4" s="73" t="s">
        <v>58</v>
      </c>
    </row>
    <row r="5" spans="2:17" ht="15" thickBot="1" x14ac:dyDescent="0.35">
      <c r="B5" s="111" t="s">
        <v>59</v>
      </c>
      <c r="C5" s="112"/>
      <c r="D5" s="113"/>
      <c r="H5" s="78" t="s">
        <v>60</v>
      </c>
      <c r="I5" s="58" t="s">
        <v>61</v>
      </c>
      <c r="J5" s="58" t="s">
        <v>62</v>
      </c>
      <c r="K5" s="59" t="s">
        <v>63</v>
      </c>
      <c r="N5" s="78" t="s">
        <v>64</v>
      </c>
      <c r="O5" s="58" t="s">
        <v>61</v>
      </c>
      <c r="P5" s="58" t="s">
        <v>62</v>
      </c>
      <c r="Q5" s="59" t="s">
        <v>63</v>
      </c>
    </row>
    <row r="6" spans="2:17" x14ac:dyDescent="0.3">
      <c r="B6" s="28" t="s">
        <v>65</v>
      </c>
      <c r="C6" s="26" t="s">
        <v>66</v>
      </c>
      <c r="D6" s="29" t="s">
        <v>61</v>
      </c>
      <c r="E6" s="46" t="s">
        <v>67</v>
      </c>
      <c r="H6" s="51" t="s">
        <v>68</v>
      </c>
      <c r="I6" s="79">
        <f>D7</f>
        <v>4568.0359999999991</v>
      </c>
      <c r="J6" s="52">
        <f>($I$6*C19+$I$7*C23)/$I$8</f>
        <v>20.861433068235293</v>
      </c>
      <c r="K6" s="53">
        <f>($I$6*D19+$I$7*D23)/$I$8</f>
        <v>1.1062986782352942</v>
      </c>
      <c r="N6" s="51" t="s">
        <v>69</v>
      </c>
      <c r="O6" s="79">
        <f>D13</f>
        <v>3084.0040000000004</v>
      </c>
      <c r="P6" s="52">
        <f>($O$6*C25+$O$7*C22+$O$8*C21+$O$9*C20+$O$10*C26+$O$11*C24)/SUM($O$6:$O$11)</f>
        <v>20.815803179769297</v>
      </c>
      <c r="Q6" s="53">
        <f>($O$6*D25+$O$7*D22+$O$8*D21+$O$9*D20+$O$10*D26+$O$11*D24)/SUM($O$6:$O$11)</f>
        <v>1.0606687897693003</v>
      </c>
    </row>
    <row r="7" spans="2:17" x14ac:dyDescent="0.3">
      <c r="B7" s="30" t="s">
        <v>68</v>
      </c>
      <c r="C7" s="27">
        <v>19.7</v>
      </c>
      <c r="D7" s="31">
        <f>C7/100 *$B$4</f>
        <v>4568.0359999999991</v>
      </c>
      <c r="E7">
        <f>SUMPRODUCT(D7:D14,C19:C26)/D15</f>
        <v>20.830132762969836</v>
      </c>
      <c r="F7" t="s">
        <v>70</v>
      </c>
      <c r="H7" s="75" t="s">
        <v>71</v>
      </c>
      <c r="I7" s="74">
        <f>D11</f>
        <v>1344.904</v>
      </c>
      <c r="J7" s="25"/>
      <c r="K7" s="55"/>
      <c r="N7" s="75" t="s">
        <v>72</v>
      </c>
      <c r="O7" s="74">
        <f>D10</f>
        <v>8115.7999999999993</v>
      </c>
      <c r="P7" s="25"/>
      <c r="Q7" s="55"/>
    </row>
    <row r="8" spans="2:17" ht="15" thickBot="1" x14ac:dyDescent="0.35">
      <c r="B8" s="30" t="s">
        <v>73</v>
      </c>
      <c r="C8" s="27">
        <v>2.5</v>
      </c>
      <c r="D8" s="31">
        <f t="shared" ref="D8:D14" si="0">C8/100 *$B$4</f>
        <v>579.70000000000005</v>
      </c>
      <c r="E8">
        <f>SUMPRODUCT(D7:D14,D19:D26)/D15</f>
        <v>1.0749983729698283</v>
      </c>
      <c r="F8" t="s">
        <v>74</v>
      </c>
      <c r="H8" s="76" t="s">
        <v>75</v>
      </c>
      <c r="I8" s="77">
        <f>SUM(I6:I7)</f>
        <v>5912.9399999999987</v>
      </c>
      <c r="J8" s="56"/>
      <c r="K8" s="57"/>
      <c r="N8" s="75" t="s">
        <v>76</v>
      </c>
      <c r="O8" s="74">
        <f>D9</f>
        <v>417.38400000000007</v>
      </c>
      <c r="P8" s="25"/>
      <c r="Q8" s="55"/>
    </row>
    <row r="9" spans="2:17" x14ac:dyDescent="0.3">
      <c r="B9" s="30" t="s">
        <v>77</v>
      </c>
      <c r="C9" s="27">
        <v>1.8</v>
      </c>
      <c r="D9" s="31">
        <f t="shared" si="0"/>
        <v>417.38400000000007</v>
      </c>
      <c r="F9" t="s">
        <v>78</v>
      </c>
      <c r="N9" s="75" t="s">
        <v>79</v>
      </c>
      <c r="O9" s="74">
        <f>D8</f>
        <v>579.70000000000005</v>
      </c>
      <c r="P9" s="25"/>
      <c r="Q9" s="55"/>
    </row>
    <row r="10" spans="2:17" x14ac:dyDescent="0.3">
      <c r="B10" s="30" t="s">
        <v>80</v>
      </c>
      <c r="C10" s="27">
        <v>35</v>
      </c>
      <c r="D10" s="31">
        <f t="shared" si="0"/>
        <v>8115.7999999999993</v>
      </c>
      <c r="N10" s="75" t="s">
        <v>81</v>
      </c>
      <c r="O10" s="74">
        <f>D14</f>
        <v>533.32399999999996</v>
      </c>
      <c r="P10" s="25"/>
      <c r="Q10" s="55"/>
    </row>
    <row r="11" spans="2:17" x14ac:dyDescent="0.3">
      <c r="B11" s="30" t="s">
        <v>82</v>
      </c>
      <c r="C11" s="27">
        <v>5.8</v>
      </c>
      <c r="D11" s="31">
        <f t="shared" si="0"/>
        <v>1344.904</v>
      </c>
      <c r="N11" s="75" t="s">
        <v>83</v>
      </c>
      <c r="O11" s="74">
        <f>D12</f>
        <v>185.50399999999999</v>
      </c>
      <c r="P11" s="25"/>
      <c r="Q11" s="55"/>
    </row>
    <row r="12" spans="2:17" ht="15" thickBot="1" x14ac:dyDescent="0.35">
      <c r="B12" s="30" t="s">
        <v>84</v>
      </c>
      <c r="C12" s="27">
        <v>0.8</v>
      </c>
      <c r="D12" s="31">
        <f t="shared" si="0"/>
        <v>185.50399999999999</v>
      </c>
      <c r="N12" s="76" t="s">
        <v>75</v>
      </c>
      <c r="O12" s="77">
        <f>SUM(O6:O11)</f>
        <v>12915.716000000002</v>
      </c>
      <c r="P12" s="56"/>
      <c r="Q12" s="57"/>
    </row>
    <row r="13" spans="2:17" x14ac:dyDescent="0.3">
      <c r="B13" s="30" t="s">
        <v>85</v>
      </c>
      <c r="C13" s="27">
        <v>13.3</v>
      </c>
      <c r="D13" s="31">
        <f t="shared" si="0"/>
        <v>3084.0040000000004</v>
      </c>
    </row>
    <row r="14" spans="2:17" x14ac:dyDescent="0.3">
      <c r="B14" s="30" t="s">
        <v>86</v>
      </c>
      <c r="C14" s="27">
        <v>2.2999999999999998</v>
      </c>
      <c r="D14" s="31">
        <f t="shared" si="0"/>
        <v>533.32399999999996</v>
      </c>
      <c r="I14" s="24"/>
    </row>
    <row r="15" spans="2:17" ht="15" thickBot="1" x14ac:dyDescent="0.35">
      <c r="B15" s="32" t="s">
        <v>75</v>
      </c>
      <c r="C15" s="18">
        <f>SUM(C7:C14)</f>
        <v>81.199999999999989</v>
      </c>
      <c r="D15" s="33">
        <f>C15/100 *$B$4</f>
        <v>18828.655999999995</v>
      </c>
    </row>
    <row r="17" spans="2:18" ht="15" thickBot="1" x14ac:dyDescent="0.35"/>
    <row r="18" spans="2:18" ht="15" thickBot="1" x14ac:dyDescent="0.35">
      <c r="B18" s="64" t="s">
        <v>87</v>
      </c>
      <c r="C18" s="65" t="s">
        <v>88</v>
      </c>
      <c r="D18" s="65" t="s">
        <v>89</v>
      </c>
      <c r="E18" s="66"/>
      <c r="H18" s="61" t="s">
        <v>259</v>
      </c>
      <c r="I18" s="62" t="s">
        <v>279</v>
      </c>
      <c r="J18" s="63" t="s">
        <v>280</v>
      </c>
      <c r="L18" s="61" t="s">
        <v>286</v>
      </c>
      <c r="M18" s="62" t="s">
        <v>279</v>
      </c>
      <c r="N18" s="63" t="s">
        <v>280</v>
      </c>
      <c r="P18" s="98" t="s">
        <v>287</v>
      </c>
      <c r="Q18" s="99" t="s">
        <v>279</v>
      </c>
      <c r="R18" s="100" t="s">
        <v>280</v>
      </c>
    </row>
    <row r="19" spans="2:18" x14ac:dyDescent="0.3">
      <c r="B19" s="36" t="s">
        <v>68</v>
      </c>
      <c r="C19" s="42">
        <v>20.829469199999998</v>
      </c>
      <c r="D19" s="42">
        <f>C19-$C$27</f>
        <v>1.0743348099999999</v>
      </c>
      <c r="E19" s="53" t="s">
        <v>90</v>
      </c>
      <c r="H19" s="101" t="s">
        <v>260</v>
      </c>
      <c r="I19" s="52">
        <v>36.466000000000001</v>
      </c>
      <c r="J19" s="53" t="s">
        <v>261</v>
      </c>
      <c r="L19" s="101" t="s">
        <v>273</v>
      </c>
      <c r="M19" s="52">
        <v>8.5410000000000004</v>
      </c>
      <c r="N19" s="53" t="s">
        <v>261</v>
      </c>
      <c r="P19" s="101" t="s">
        <v>271</v>
      </c>
      <c r="Q19" s="52">
        <v>3.4081177139999999</v>
      </c>
      <c r="R19" s="53" t="s">
        <v>261</v>
      </c>
    </row>
    <row r="20" spans="2:18" x14ac:dyDescent="0.3">
      <c r="B20" s="30" t="s">
        <v>73</v>
      </c>
      <c r="C20" s="40">
        <f>M22+M23+M24</f>
        <v>36.951364617979998</v>
      </c>
      <c r="D20" s="40">
        <f>C20-$C$27</f>
        <v>17.196230227979999</v>
      </c>
      <c r="E20" s="55" t="s">
        <v>90</v>
      </c>
      <c r="H20" s="102" t="s">
        <v>263</v>
      </c>
      <c r="I20" s="25">
        <v>28.291139999999999</v>
      </c>
      <c r="J20" s="55" t="s">
        <v>261</v>
      </c>
      <c r="L20" s="102" t="s">
        <v>274</v>
      </c>
      <c r="M20" s="25">
        <f>0.38*M19/2</f>
        <v>1.6227900000000002</v>
      </c>
      <c r="N20" s="55" t="s">
        <v>261</v>
      </c>
      <c r="P20" s="102" t="s">
        <v>272</v>
      </c>
      <c r="Q20" s="25">
        <f>0.55*Q19</f>
        <v>1.8744647427000001</v>
      </c>
      <c r="R20" s="55" t="s">
        <v>261</v>
      </c>
    </row>
    <row r="21" spans="2:18" x14ac:dyDescent="0.3">
      <c r="B21" s="30" t="s">
        <v>77</v>
      </c>
      <c r="C21" s="40">
        <f>Q22+Q23</f>
        <v>35.166368649000006</v>
      </c>
      <c r="D21" s="40">
        <f t="shared" ref="D21:D26" si="1">C21-$C$27</f>
        <v>15.411234259000008</v>
      </c>
      <c r="E21" s="55" t="s">
        <v>90</v>
      </c>
      <c r="H21" s="102" t="s">
        <v>264</v>
      </c>
      <c r="I21" s="25">
        <v>3.9</v>
      </c>
      <c r="J21" s="55" t="s">
        <v>261</v>
      </c>
      <c r="L21" s="102" t="s">
        <v>275</v>
      </c>
      <c r="M21" s="25">
        <v>2.0974891439999999</v>
      </c>
      <c r="N21" s="55" t="s">
        <v>261</v>
      </c>
      <c r="P21" s="102" t="s">
        <v>281</v>
      </c>
      <c r="Q21" s="25">
        <v>2.8079749500000002</v>
      </c>
      <c r="R21" s="55" t="s">
        <v>261</v>
      </c>
    </row>
    <row r="22" spans="2:18" ht="33" customHeight="1" x14ac:dyDescent="0.3">
      <c r="B22" s="30" t="s">
        <v>80</v>
      </c>
      <c r="C22" s="41">
        <f>0.47*I19</f>
        <v>17.139019999999999</v>
      </c>
      <c r="D22" s="40">
        <f t="shared" si="1"/>
        <v>-2.6161143899999999</v>
      </c>
      <c r="E22" s="55" t="s">
        <v>90</v>
      </c>
      <c r="H22" s="102" t="s">
        <v>293</v>
      </c>
      <c r="I22" s="25"/>
      <c r="J22" s="55"/>
      <c r="L22" s="103" t="s">
        <v>276</v>
      </c>
      <c r="M22" s="25">
        <f>0.42*M21</f>
        <v>0.8809454404799999</v>
      </c>
      <c r="N22" s="55" t="s">
        <v>261</v>
      </c>
      <c r="P22" s="103" t="s">
        <v>282</v>
      </c>
      <c r="Q22" s="25">
        <f>0.42*Q21</f>
        <v>1.1793494790000001</v>
      </c>
      <c r="R22" s="55" t="s">
        <v>261</v>
      </c>
    </row>
    <row r="23" spans="2:18" ht="30" customHeight="1" thickBot="1" x14ac:dyDescent="0.35">
      <c r="B23" s="30" t="s">
        <v>82</v>
      </c>
      <c r="C23" s="40">
        <v>20.97</v>
      </c>
      <c r="D23" s="40">
        <f t="shared" si="1"/>
        <v>1.2148656100000004</v>
      </c>
      <c r="E23" s="55" t="s">
        <v>90</v>
      </c>
      <c r="H23" s="102" t="s">
        <v>288</v>
      </c>
      <c r="I23" s="25">
        <f>0.35*C31/2</f>
        <v>4.5806249999999995</v>
      </c>
      <c r="J23" s="55" t="s">
        <v>261</v>
      </c>
      <c r="L23" s="105" t="s">
        <v>277</v>
      </c>
      <c r="M23" s="25">
        <v>0.95887734749999998</v>
      </c>
      <c r="N23" s="55" t="s">
        <v>261</v>
      </c>
      <c r="P23" s="104" t="s">
        <v>283</v>
      </c>
      <c r="Q23" s="56">
        <v>33.987019170000003</v>
      </c>
      <c r="R23" s="57" t="s">
        <v>261</v>
      </c>
    </row>
    <row r="24" spans="2:18" ht="28.2" customHeight="1" thickBot="1" x14ac:dyDescent="0.35">
      <c r="B24" s="30" t="s">
        <v>84</v>
      </c>
      <c r="C24" s="40">
        <v>2.17</v>
      </c>
      <c r="D24" s="40">
        <f t="shared" si="1"/>
        <v>-17.58513439</v>
      </c>
      <c r="E24" s="55" t="s">
        <v>90</v>
      </c>
      <c r="H24" s="104" t="s">
        <v>297</v>
      </c>
      <c r="I24" s="56">
        <v>1.88942426</v>
      </c>
      <c r="J24" s="57" t="s">
        <v>261</v>
      </c>
      <c r="L24" s="106" t="s">
        <v>278</v>
      </c>
      <c r="M24" s="56">
        <v>35.11154183</v>
      </c>
      <c r="N24" s="57" t="s">
        <v>261</v>
      </c>
    </row>
    <row r="25" spans="2:18" ht="27" customHeight="1" x14ac:dyDescent="0.3">
      <c r="B25" s="30" t="s">
        <v>85</v>
      </c>
      <c r="C25" s="40">
        <f>I20+0.4*I21</f>
        <v>29.851139999999997</v>
      </c>
      <c r="D25" s="40">
        <f t="shared" si="1"/>
        <v>10.096005609999999</v>
      </c>
      <c r="E25" s="55" t="s">
        <v>90</v>
      </c>
    </row>
    <row r="26" spans="2:18" ht="30.6" customHeight="1" thickBot="1" x14ac:dyDescent="0.35">
      <c r="B26" s="35" t="s">
        <v>86</v>
      </c>
      <c r="C26" s="44">
        <f>4.47/2</f>
        <v>2.2349999999999999</v>
      </c>
      <c r="D26" s="44">
        <f t="shared" si="1"/>
        <v>-17.520134389999999</v>
      </c>
      <c r="E26" s="57" t="s">
        <v>90</v>
      </c>
      <c r="H26" s="19"/>
    </row>
    <row r="27" spans="2:18" ht="15" thickBot="1" x14ac:dyDescent="0.35">
      <c r="B27" s="67" t="s">
        <v>91</v>
      </c>
      <c r="C27" s="68">
        <f>19.75513439</f>
        <v>19.755134389999998</v>
      </c>
      <c r="D27" s="68"/>
      <c r="E27" s="69"/>
      <c r="H27" s="80"/>
    </row>
    <row r="28" spans="2:18" ht="15" thickBot="1" x14ac:dyDescent="0.35"/>
    <row r="29" spans="2:18" ht="15" thickBot="1" x14ac:dyDescent="0.35">
      <c r="B29" s="114" t="s">
        <v>92</v>
      </c>
      <c r="C29" s="115"/>
      <c r="D29" s="115"/>
      <c r="E29" s="59" t="s">
        <v>93</v>
      </c>
    </row>
    <row r="30" spans="2:18" x14ac:dyDescent="0.3">
      <c r="B30" s="36" t="s">
        <v>94</v>
      </c>
      <c r="C30" s="94">
        <v>77.39</v>
      </c>
      <c r="D30" s="37" t="s">
        <v>95</v>
      </c>
      <c r="E30" s="53" t="s">
        <v>96</v>
      </c>
    </row>
    <row r="31" spans="2:18" x14ac:dyDescent="0.3">
      <c r="B31" s="30" t="s">
        <v>97</v>
      </c>
      <c r="C31" s="95">
        <v>26.175000000000001</v>
      </c>
      <c r="D31" s="38" t="s">
        <v>90</v>
      </c>
      <c r="E31" s="55" t="s">
        <v>96</v>
      </c>
    </row>
    <row r="32" spans="2:18" x14ac:dyDescent="0.3">
      <c r="B32" s="30" t="s">
        <v>98</v>
      </c>
      <c r="C32" s="95">
        <v>0.23812886559999999</v>
      </c>
      <c r="D32" s="38" t="s">
        <v>99</v>
      </c>
      <c r="E32" s="55" t="s">
        <v>96</v>
      </c>
    </row>
    <row r="33" spans="2:6" x14ac:dyDescent="0.3">
      <c r="B33" s="30" t="s">
        <v>100</v>
      </c>
      <c r="C33" s="95">
        <v>5.887979488</v>
      </c>
      <c r="D33" s="38" t="s">
        <v>90</v>
      </c>
      <c r="E33" s="55" t="s">
        <v>101</v>
      </c>
    </row>
    <row r="34" spans="2:6" x14ac:dyDescent="0.3">
      <c r="B34" s="30" t="s">
        <v>102</v>
      </c>
      <c r="C34" s="96">
        <f>C33*C32</f>
        <v>1.4020978761535088</v>
      </c>
      <c r="D34" s="38" t="s">
        <v>90</v>
      </c>
      <c r="E34" s="55" t="s">
        <v>96</v>
      </c>
    </row>
    <row r="35" spans="2:6" x14ac:dyDescent="0.3">
      <c r="B35" s="30" t="s">
        <v>103</v>
      </c>
      <c r="C35" s="95">
        <v>30</v>
      </c>
      <c r="D35" s="38" t="s">
        <v>104</v>
      </c>
      <c r="E35" s="55" t="s">
        <v>96</v>
      </c>
    </row>
    <row r="36" spans="2:6" ht="15" thickBot="1" x14ac:dyDescent="0.35">
      <c r="B36" s="35" t="s">
        <v>105</v>
      </c>
      <c r="C36" s="97">
        <f xml:space="preserve"> C31*C31/C30</f>
        <v>8.8529606538312446</v>
      </c>
      <c r="D36" s="39" t="s">
        <v>99</v>
      </c>
      <c r="E36" s="57" t="s">
        <v>96</v>
      </c>
    </row>
    <row r="40" spans="2:6" ht="15" thickBot="1" x14ac:dyDescent="0.35"/>
    <row r="41" spans="2:6" x14ac:dyDescent="0.3">
      <c r="B41" s="51" t="s">
        <v>106</v>
      </c>
      <c r="C41" s="52">
        <v>100</v>
      </c>
      <c r="D41" s="53"/>
    </row>
    <row r="42" spans="2:6" x14ac:dyDescent="0.3">
      <c r="B42" s="75" t="s">
        <v>107</v>
      </c>
      <c r="C42" s="25">
        <f>C41/C43</f>
        <v>20</v>
      </c>
      <c r="D42" s="55"/>
    </row>
    <row r="43" spans="2:6" x14ac:dyDescent="0.3">
      <c r="B43" s="75" t="s">
        <v>108</v>
      </c>
      <c r="C43" s="25">
        <v>5</v>
      </c>
      <c r="D43" s="55"/>
    </row>
    <row r="44" spans="2:6" x14ac:dyDescent="0.3">
      <c r="B44" s="75" t="s">
        <v>109</v>
      </c>
      <c r="C44" s="25">
        <f>31*0.0254</f>
        <v>0.78739999999999999</v>
      </c>
      <c r="D44" s="55" t="s">
        <v>90</v>
      </c>
    </row>
    <row r="45" spans="2:6" x14ac:dyDescent="0.3">
      <c r="B45" s="75" t="s">
        <v>110</v>
      </c>
      <c r="C45" s="25">
        <v>6.75</v>
      </c>
      <c r="D45" s="55" t="s">
        <v>90</v>
      </c>
    </row>
    <row r="46" spans="2:6" ht="15" thickBot="1" x14ac:dyDescent="0.35">
      <c r="B46" s="76" t="s">
        <v>111</v>
      </c>
      <c r="C46" s="56">
        <v>90</v>
      </c>
      <c r="D46" s="57" t="s">
        <v>112</v>
      </c>
    </row>
    <row r="48" spans="2:6" x14ac:dyDescent="0.3">
      <c r="E48" t="s">
        <v>113</v>
      </c>
      <c r="F48">
        <v>4.1100000000000003</v>
      </c>
    </row>
    <row r="49" spans="2:5" x14ac:dyDescent="0.3">
      <c r="C49" t="s">
        <v>114</v>
      </c>
    </row>
    <row r="50" spans="2:5" x14ac:dyDescent="0.3">
      <c r="C50" t="s">
        <v>115</v>
      </c>
    </row>
    <row r="52" spans="2:5" ht="15" thickBot="1" x14ac:dyDescent="0.35"/>
    <row r="53" spans="2:5" ht="15" thickBot="1" x14ac:dyDescent="0.35">
      <c r="B53" s="61" t="s">
        <v>87</v>
      </c>
      <c r="C53" s="62" t="s">
        <v>116</v>
      </c>
      <c r="D53" s="62" t="s">
        <v>117</v>
      </c>
      <c r="E53" s="63" t="s">
        <v>89</v>
      </c>
    </row>
    <row r="54" spans="2:5" x14ac:dyDescent="0.3">
      <c r="B54" s="36" t="s">
        <v>118</v>
      </c>
      <c r="C54" s="52">
        <f>'1.b) Ref_ac'!D5</f>
        <v>3841</v>
      </c>
      <c r="D54" s="52">
        <v>19.649999999999999</v>
      </c>
      <c r="E54" s="60">
        <f>D54-C27</f>
        <v>-0.10513438999999991</v>
      </c>
    </row>
    <row r="55" spans="2:5" x14ac:dyDescent="0.3">
      <c r="B55" s="30" t="s">
        <v>119</v>
      </c>
      <c r="C55" s="25">
        <f>'1.b) Ref_ac'!D8</f>
        <v>962</v>
      </c>
      <c r="D55" s="25">
        <v>11.31</v>
      </c>
      <c r="E55" s="54">
        <f>D55-C27</f>
        <v>-8.445134389999998</v>
      </c>
    </row>
    <row r="56" spans="2:5" x14ac:dyDescent="0.3">
      <c r="B56" s="30" t="s">
        <v>120</v>
      </c>
      <c r="C56" s="25">
        <f>'1.b) Ref_ac'!D9</f>
        <v>1807</v>
      </c>
      <c r="D56" s="25">
        <v>29.594999999999999</v>
      </c>
      <c r="E56" s="54">
        <f>D56-C27</f>
        <v>9.8398656100000004</v>
      </c>
    </row>
    <row r="57" spans="2:5" x14ac:dyDescent="0.3">
      <c r="B57" s="30" t="s">
        <v>50</v>
      </c>
      <c r="C57" s="74">
        <f>D15</f>
        <v>18828.655999999995</v>
      </c>
      <c r="D57" s="25">
        <f>E7</f>
        <v>20.830132762969836</v>
      </c>
      <c r="E57" s="55">
        <f>E8</f>
        <v>1.0749983729698283</v>
      </c>
    </row>
    <row r="58" spans="2:5" x14ac:dyDescent="0.3">
      <c r="B58" s="30" t="s">
        <v>121</v>
      </c>
      <c r="C58" s="25">
        <f>C41*C46</f>
        <v>9000</v>
      </c>
      <c r="D58" s="25">
        <f>C45+(C42*C44)/2</f>
        <v>14.623999999999999</v>
      </c>
      <c r="E58" s="54">
        <f>D58-C27</f>
        <v>-5.1311343899999997</v>
      </c>
    </row>
    <row r="59" spans="2:5" ht="15" thickBot="1" x14ac:dyDescent="0.35">
      <c r="B59" s="35" t="s">
        <v>49</v>
      </c>
      <c r="C59" s="56">
        <f>'1.b) Ref_ac'!D3</f>
        <v>38995</v>
      </c>
      <c r="D59" s="56">
        <f>SUMPRODUCT(C54:C58,D54:D58)/SUM(C54:C58)</f>
        <v>19.270596367880575</v>
      </c>
      <c r="E59" s="57">
        <f>SUMPRODUCT(C54:C58,E54:E58)/SUM(C54:C58)</f>
        <v>-0.48453802211942915</v>
      </c>
    </row>
    <row r="84" spans="4:4" x14ac:dyDescent="0.3">
      <c r="D84" s="22"/>
    </row>
  </sheetData>
  <mergeCells count="2">
    <mergeCell ref="B5:D5"/>
    <mergeCell ref="B29:D2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F4D40-758F-4374-A0E5-3FF3C44F9033}">
  <dimension ref="A1"/>
  <sheetViews>
    <sheetView workbookViewId="0">
      <selection activeCell="C9" sqref="C9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421F-5017-4BEC-A130-589B87B5F0A8}">
  <dimension ref="A1"/>
  <sheetViews>
    <sheetView workbookViewId="0">
      <selection activeCell="F28" sqref="F28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0F39-80C2-419B-AB70-A21514B97E72}">
  <dimension ref="C2:Q104"/>
  <sheetViews>
    <sheetView topLeftCell="L1" zoomScale="67" workbookViewId="0">
      <selection activeCell="T35" sqref="T35"/>
    </sheetView>
  </sheetViews>
  <sheetFormatPr defaultRowHeight="14.4" x14ac:dyDescent="0.3"/>
  <cols>
    <col min="1" max="1" width="16.109375" customWidth="1"/>
    <col min="2" max="2" width="2.44140625" customWidth="1"/>
    <col min="3" max="3" width="41" customWidth="1"/>
    <col min="4" max="4" width="12.6640625" customWidth="1"/>
    <col min="5" max="5" width="16.6640625" customWidth="1"/>
    <col min="7" max="7" width="18.33203125" customWidth="1"/>
    <col min="9" max="9" width="9.33203125" bestFit="1" customWidth="1"/>
  </cols>
  <sheetData>
    <row r="2" spans="3:17" x14ac:dyDescent="0.3">
      <c r="P2" t="s">
        <v>133</v>
      </c>
      <c r="Q2" t="s">
        <v>134</v>
      </c>
    </row>
    <row r="3" spans="3:17" x14ac:dyDescent="0.3">
      <c r="C3" t="s">
        <v>135</v>
      </c>
      <c r="D3" t="s">
        <v>136</v>
      </c>
      <c r="E3" t="s">
        <v>137</v>
      </c>
      <c r="G3" t="s">
        <v>138</v>
      </c>
      <c r="K3" t="s">
        <v>139</v>
      </c>
      <c r="O3" t="s">
        <v>140</v>
      </c>
      <c r="P3" t="s">
        <v>141</v>
      </c>
      <c r="Q3" t="s">
        <v>142</v>
      </c>
    </row>
    <row r="4" spans="3:17" x14ac:dyDescent="0.3">
      <c r="C4" t="s">
        <v>143</v>
      </c>
      <c r="D4" t="s">
        <v>144</v>
      </c>
      <c r="E4" s="81">
        <v>4.1100000000000003</v>
      </c>
      <c r="G4" t="s">
        <v>145</v>
      </c>
      <c r="O4">
        <v>0</v>
      </c>
      <c r="P4">
        <f>(O4-H5+0.05)/(I13/I22*(1 - H33)*E17/E4*E18)</f>
        <v>3.8744947191061314E-2</v>
      </c>
      <c r="Q4">
        <f>(O4 + M6/M7 - M10)/(M8/M7*E17/E4*E18)</f>
        <v>0.29797499999999999</v>
      </c>
    </row>
    <row r="5" spans="3:17" x14ac:dyDescent="0.3">
      <c r="C5" t="s">
        <v>146</v>
      </c>
      <c r="D5" t="s">
        <v>147</v>
      </c>
      <c r="E5" s="82">
        <f>'1.c)'!C31</f>
        <v>26.175000000000001</v>
      </c>
      <c r="G5" t="s">
        <v>148</v>
      </c>
      <c r="H5" s="81">
        <f>H7+H6+H8+H9</f>
        <v>-0.16495449872186163</v>
      </c>
      <c r="K5" t="s">
        <v>149</v>
      </c>
      <c r="L5" t="s">
        <v>150</v>
      </c>
      <c r="O5">
        <v>0.01</v>
      </c>
      <c r="P5">
        <f t="shared" ref="P5:P36" si="0">(O4-$H$5+0.05)/($I$13/$I$22*(1-$H$33)*$E$17/$E$4*$E$18)</f>
        <v>3.8744947191061314E-2</v>
      </c>
      <c r="Q5">
        <f t="shared" ref="Q5:Q36" si="1">(O4 + $M$6/$M$7 - $M$10)/($M$8/$M$7*$E$17/$E$4*$E$18)</f>
        <v>0.29797499999999999</v>
      </c>
    </row>
    <row r="6" spans="3:17" x14ac:dyDescent="0.3">
      <c r="C6" t="s">
        <v>151</v>
      </c>
      <c r="D6" t="s">
        <v>152</v>
      </c>
      <c r="E6" s="81">
        <v>2.6949999999999998</v>
      </c>
      <c r="G6" t="s">
        <v>153</v>
      </c>
      <c r="H6" s="84"/>
      <c r="K6" t="s">
        <v>154</v>
      </c>
      <c r="L6" t="s">
        <v>155</v>
      </c>
      <c r="M6" s="83">
        <v>-0.15</v>
      </c>
      <c r="O6">
        <v>0.02</v>
      </c>
      <c r="P6">
        <f t="shared" si="0"/>
        <v>4.0547419222186146E-2</v>
      </c>
      <c r="Q6">
        <f t="shared" si="1"/>
        <v>0.2907825</v>
      </c>
    </row>
    <row r="7" spans="3:17" x14ac:dyDescent="0.3">
      <c r="C7" t="s">
        <v>156</v>
      </c>
      <c r="D7" t="s">
        <v>157</v>
      </c>
      <c r="E7" s="81">
        <v>2.6949999999999998</v>
      </c>
      <c r="G7" t="s">
        <v>158</v>
      </c>
      <c r="H7" s="81">
        <f>-1.8*E6*E7*E8/(E9*E4*I22)</f>
        <v>-1.7856587456510193</v>
      </c>
      <c r="L7" t="s">
        <v>159</v>
      </c>
      <c r="M7" s="83">
        <v>0.7</v>
      </c>
      <c r="O7">
        <v>0.03</v>
      </c>
      <c r="P7">
        <f t="shared" si="0"/>
        <v>4.2349891253310977E-2</v>
      </c>
      <c r="Q7">
        <f t="shared" si="1"/>
        <v>0.28359000000000001</v>
      </c>
    </row>
    <row r="8" spans="3:17" x14ac:dyDescent="0.3">
      <c r="C8" t="s">
        <v>160</v>
      </c>
      <c r="D8" t="s">
        <v>161</v>
      </c>
      <c r="E8" s="81">
        <v>17.09</v>
      </c>
      <c r="G8" t="s">
        <v>162</v>
      </c>
      <c r="H8" s="81">
        <f>0.273*E6*E10*(E5-E6) * TAN(E11) / ((1 + E12)*E4*E4*(E5+2.15*E6))</f>
        <v>0.23976712695817901</v>
      </c>
      <c r="K8" t="s">
        <v>163</v>
      </c>
      <c r="L8" t="s">
        <v>164</v>
      </c>
      <c r="M8" s="83">
        <v>-0.8</v>
      </c>
      <c r="O8">
        <v>0.04</v>
      </c>
      <c r="P8">
        <f t="shared" si="0"/>
        <v>4.4152363284435808E-2</v>
      </c>
      <c r="Q8">
        <f t="shared" si="1"/>
        <v>0.27639750000000002</v>
      </c>
    </row>
    <row r="9" spans="3:17" x14ac:dyDescent="0.3">
      <c r="C9" t="s">
        <v>165</v>
      </c>
      <c r="D9" t="s">
        <v>166</v>
      </c>
      <c r="E9" s="82">
        <f>'1.c)'!C30</f>
        <v>77.39</v>
      </c>
      <c r="G9" t="s">
        <v>167</v>
      </c>
      <c r="H9" s="81">
        <f>E13*E13*E14/(E9*E4*I22)*E16*E15</f>
        <v>1.3809371199709788</v>
      </c>
      <c r="O9">
        <v>0.05</v>
      </c>
      <c r="P9">
        <f t="shared" si="0"/>
        <v>4.5954835315560633E-2</v>
      </c>
      <c r="Q9">
        <f t="shared" si="1"/>
        <v>0.26920500000000003</v>
      </c>
    </row>
    <row r="10" spans="3:17" x14ac:dyDescent="0.3">
      <c r="C10" t="s">
        <v>168</v>
      </c>
      <c r="D10" t="s">
        <v>169</v>
      </c>
      <c r="E10" s="85">
        <v>30</v>
      </c>
      <c r="L10" t="s">
        <v>170</v>
      </c>
      <c r="M10" s="89">
        <v>0.2</v>
      </c>
      <c r="O10">
        <v>0.06</v>
      </c>
      <c r="P10">
        <f t="shared" si="0"/>
        <v>4.7757307346685457E-2</v>
      </c>
      <c r="Q10">
        <f t="shared" si="1"/>
        <v>0.26201250000000004</v>
      </c>
    </row>
    <row r="11" spans="3:17" x14ac:dyDescent="0.3">
      <c r="C11" t="s">
        <v>171</v>
      </c>
      <c r="D11" t="s">
        <v>172</v>
      </c>
      <c r="E11" s="85">
        <v>0.3</v>
      </c>
      <c r="O11">
        <v>7.0000000000000007E-2</v>
      </c>
      <c r="P11">
        <f t="shared" si="0"/>
        <v>4.9559779377810281E-2</v>
      </c>
      <c r="Q11">
        <f t="shared" si="1"/>
        <v>0.25481999999999999</v>
      </c>
    </row>
    <row r="12" spans="3:17" x14ac:dyDescent="0.3">
      <c r="C12" t="s">
        <v>173</v>
      </c>
      <c r="D12" t="s">
        <v>174</v>
      </c>
      <c r="E12" s="82">
        <f>'1.c)'!C32</f>
        <v>0.23812886559999999</v>
      </c>
      <c r="G12" t="s">
        <v>175</v>
      </c>
      <c r="H12" t="s">
        <v>136</v>
      </c>
      <c r="I12" t="s">
        <v>137</v>
      </c>
      <c r="O12">
        <v>0.08</v>
      </c>
      <c r="P12">
        <f t="shared" si="0"/>
        <v>5.1362251408935113E-2</v>
      </c>
      <c r="Q12">
        <f t="shared" si="1"/>
        <v>0.2476275</v>
      </c>
    </row>
    <row r="13" spans="3:17" x14ac:dyDescent="0.3">
      <c r="C13" t="s">
        <v>176</v>
      </c>
      <c r="D13" t="s">
        <v>177</v>
      </c>
      <c r="E13" s="81">
        <v>1.56</v>
      </c>
      <c r="G13" t="s">
        <v>178</v>
      </c>
      <c r="H13" t="s">
        <v>179</v>
      </c>
      <c r="I13" s="88">
        <f>2*PI()*I17/(2 + SQRT(4 + (I17*I15/I16)^2*(1+TAN(I18)^2/I15^2)))</f>
        <v>2.7599225795395612</v>
      </c>
      <c r="O13">
        <v>0.09</v>
      </c>
      <c r="P13">
        <f t="shared" si="0"/>
        <v>5.3164723440059944E-2</v>
      </c>
      <c r="Q13">
        <f t="shared" si="1"/>
        <v>0.24043499999999998</v>
      </c>
    </row>
    <row r="14" spans="3:17" x14ac:dyDescent="0.3">
      <c r="C14" s="85" t="s">
        <v>180</v>
      </c>
      <c r="D14" s="85" t="s">
        <v>181</v>
      </c>
      <c r="E14" s="85">
        <v>-14.2</v>
      </c>
      <c r="G14" t="s">
        <v>182</v>
      </c>
      <c r="H14" t="s">
        <v>183</v>
      </c>
      <c r="I14" s="83">
        <v>0.48</v>
      </c>
      <c r="O14">
        <v>0.1</v>
      </c>
      <c r="P14">
        <f t="shared" si="0"/>
        <v>5.4967195471184761E-2</v>
      </c>
      <c r="Q14">
        <f t="shared" si="1"/>
        <v>0.23324249999999999</v>
      </c>
    </row>
    <row r="15" spans="3:17" x14ac:dyDescent="0.3">
      <c r="C15" t="s">
        <v>184</v>
      </c>
      <c r="E15" s="81">
        <v>2</v>
      </c>
      <c r="F15" t="s">
        <v>185</v>
      </c>
      <c r="G15" t="s">
        <v>186</v>
      </c>
      <c r="H15" t="s">
        <v>187</v>
      </c>
      <c r="I15" s="81">
        <f>SQRT(1-I14*I14)</f>
        <v>0.87726848797845236</v>
      </c>
      <c r="O15">
        <v>0.11</v>
      </c>
      <c r="P15">
        <f t="shared" si="0"/>
        <v>5.6769667502309593E-2</v>
      </c>
      <c r="Q15">
        <f t="shared" si="1"/>
        <v>0.22604999999999997</v>
      </c>
    </row>
    <row r="16" spans="3:17" x14ac:dyDescent="0.3">
      <c r="C16" t="s">
        <v>188</v>
      </c>
      <c r="D16" t="s">
        <v>189</v>
      </c>
      <c r="E16" s="81">
        <v>-2.5</v>
      </c>
      <c r="G16" t="s">
        <v>190</v>
      </c>
      <c r="H16" t="s">
        <v>191</v>
      </c>
      <c r="I16" s="86">
        <v>0.5</v>
      </c>
      <c r="O16">
        <v>0.12</v>
      </c>
      <c r="P16">
        <f t="shared" si="0"/>
        <v>5.8572139533434424E-2</v>
      </c>
      <c r="Q16">
        <f t="shared" si="1"/>
        <v>0.21885750000000001</v>
      </c>
    </row>
    <row r="17" spans="3:17" x14ac:dyDescent="0.3">
      <c r="C17" t="s">
        <v>192</v>
      </c>
      <c r="D17" t="s">
        <v>193</v>
      </c>
      <c r="E17" s="85">
        <v>5</v>
      </c>
      <c r="G17" t="s">
        <v>194</v>
      </c>
      <c r="H17" t="s">
        <v>195</v>
      </c>
      <c r="I17" s="83">
        <v>10</v>
      </c>
      <c r="O17">
        <v>0.13</v>
      </c>
      <c r="P17">
        <f t="shared" si="0"/>
        <v>6.0374611564559248E-2</v>
      </c>
      <c r="Q17">
        <f t="shared" si="1"/>
        <v>0.21166500000000002</v>
      </c>
    </row>
    <row r="18" spans="3:17" x14ac:dyDescent="0.3">
      <c r="C18" t="s">
        <v>196</v>
      </c>
      <c r="D18" t="s">
        <v>197</v>
      </c>
      <c r="E18" s="81">
        <v>1</v>
      </c>
      <c r="G18" t="s">
        <v>198</v>
      </c>
      <c r="H18" t="s">
        <v>199</v>
      </c>
      <c r="I18" s="83">
        <v>0.5</v>
      </c>
      <c r="O18">
        <v>0.14000000000000001</v>
      </c>
      <c r="P18">
        <f t="shared" si="0"/>
        <v>6.2177083595684079E-2</v>
      </c>
      <c r="Q18">
        <f t="shared" si="1"/>
        <v>0.2044725</v>
      </c>
    </row>
    <row r="19" spans="3:17" x14ac:dyDescent="0.3">
      <c r="C19" t="s">
        <v>200</v>
      </c>
      <c r="E19" s="81"/>
      <c r="O19">
        <v>0.15</v>
      </c>
      <c r="P19">
        <f t="shared" si="0"/>
        <v>6.3979555626808904E-2</v>
      </c>
      <c r="Q19">
        <f t="shared" si="1"/>
        <v>0.19728000000000001</v>
      </c>
    </row>
    <row r="20" spans="3:17" x14ac:dyDescent="0.3">
      <c r="C20" t="s">
        <v>201</v>
      </c>
      <c r="D20" t="s">
        <v>202</v>
      </c>
      <c r="E20" s="82">
        <f>'1.c)'!C36</f>
        <v>8.8529606538312446</v>
      </c>
      <c r="O20">
        <v>0.16</v>
      </c>
      <c r="P20">
        <f t="shared" si="0"/>
        <v>6.5782027657933742E-2</v>
      </c>
      <c r="Q20">
        <f t="shared" si="1"/>
        <v>0.19008750000000002</v>
      </c>
    </row>
    <row r="21" spans="3:17" x14ac:dyDescent="0.3">
      <c r="G21" t="s">
        <v>203</v>
      </c>
      <c r="H21" t="s">
        <v>136</v>
      </c>
      <c r="I21" t="s">
        <v>137</v>
      </c>
      <c r="O21">
        <v>0.17</v>
      </c>
      <c r="P21">
        <f t="shared" si="0"/>
        <v>6.7584499689058566E-2</v>
      </c>
      <c r="Q21">
        <f t="shared" si="1"/>
        <v>0.18289500000000003</v>
      </c>
    </row>
    <row r="22" spans="3:17" x14ac:dyDescent="0.3">
      <c r="G22" t="s">
        <v>204</v>
      </c>
      <c r="H22" t="s">
        <v>205</v>
      </c>
      <c r="I22" s="88">
        <f>I23*(1+2.15*E6/E5)*I28/E9*PI()/2*E6^2/E9</f>
        <v>0.39337519677596905</v>
      </c>
      <c r="O22">
        <v>0.18</v>
      </c>
      <c r="P22">
        <f t="shared" si="0"/>
        <v>6.9386971720183405E-2</v>
      </c>
      <c r="Q22">
        <f t="shared" si="1"/>
        <v>0.17570250000000001</v>
      </c>
    </row>
    <row r="23" spans="3:17" x14ac:dyDescent="0.3">
      <c r="G23" t="s">
        <v>206</v>
      </c>
      <c r="H23" t="s">
        <v>207</v>
      </c>
      <c r="I23" s="88">
        <f>2*PI()*E20/(2 + SQRT(4 + (E20*I25/I26)^2*(1+TAN(I27)^2/I25^2)))</f>
        <v>2.7482977784516907</v>
      </c>
      <c r="O23">
        <v>0.19</v>
      </c>
      <c r="P23">
        <f t="shared" si="0"/>
        <v>7.1189443751308215E-2</v>
      </c>
      <c r="Q23">
        <f t="shared" si="1"/>
        <v>0.16851000000000002</v>
      </c>
    </row>
    <row r="24" spans="3:17" x14ac:dyDescent="0.3">
      <c r="G24" t="s">
        <v>208</v>
      </c>
      <c r="H24" t="s">
        <v>209</v>
      </c>
      <c r="I24">
        <v>0.5</v>
      </c>
      <c r="O24">
        <v>0.2</v>
      </c>
      <c r="P24">
        <f t="shared" si="0"/>
        <v>7.2991915782433053E-2</v>
      </c>
      <c r="Q24">
        <f t="shared" si="1"/>
        <v>0.1613175</v>
      </c>
    </row>
    <row r="25" spans="3:17" x14ac:dyDescent="0.3">
      <c r="G25" t="s">
        <v>210</v>
      </c>
      <c r="H25" t="s">
        <v>211</v>
      </c>
      <c r="I25" s="81">
        <f>SQRT(1-I24^2)</f>
        <v>0.8660254037844386</v>
      </c>
      <c r="O25">
        <v>0.21</v>
      </c>
      <c r="P25">
        <f t="shared" si="0"/>
        <v>7.4794387813557878E-2</v>
      </c>
      <c r="Q25">
        <f t="shared" si="1"/>
        <v>0.15412500000000001</v>
      </c>
    </row>
    <row r="26" spans="3:17" x14ac:dyDescent="0.3">
      <c r="G26" t="s">
        <v>212</v>
      </c>
      <c r="H26" t="s">
        <v>213</v>
      </c>
      <c r="I26" s="85">
        <v>0.5</v>
      </c>
      <c r="O26">
        <v>0.22</v>
      </c>
      <c r="P26">
        <f t="shared" si="0"/>
        <v>7.6596859844682702E-2</v>
      </c>
      <c r="Q26">
        <f t="shared" si="1"/>
        <v>0.14693250000000002</v>
      </c>
    </row>
    <row r="27" spans="3:17" x14ac:dyDescent="0.3">
      <c r="G27" t="s">
        <v>198</v>
      </c>
      <c r="H27" t="s">
        <v>214</v>
      </c>
      <c r="I27" s="83">
        <v>0.5</v>
      </c>
      <c r="O27">
        <v>0.23</v>
      </c>
      <c r="P27">
        <f t="shared" si="0"/>
        <v>7.8399331875807526E-2</v>
      </c>
      <c r="Q27">
        <f t="shared" si="1"/>
        <v>0.13974</v>
      </c>
    </row>
    <row r="28" spans="3:17" x14ac:dyDescent="0.3">
      <c r="G28" t="s">
        <v>215</v>
      </c>
      <c r="H28" t="s">
        <v>216</v>
      </c>
      <c r="I28" s="87">
        <f>E9 -  '1.c)'!C33*E6</f>
        <v>61.521895279840003</v>
      </c>
      <c r="O28">
        <v>0.24</v>
      </c>
      <c r="P28">
        <f t="shared" si="0"/>
        <v>8.0201803906932351E-2</v>
      </c>
      <c r="Q28">
        <f t="shared" si="1"/>
        <v>0.13254750000000001</v>
      </c>
    </row>
    <row r="29" spans="3:17" x14ac:dyDescent="0.3">
      <c r="O29">
        <v>0.25</v>
      </c>
      <c r="P29">
        <f t="shared" si="0"/>
        <v>8.2004275938057189E-2</v>
      </c>
      <c r="Q29">
        <f t="shared" si="1"/>
        <v>0.12535500000000002</v>
      </c>
    </row>
    <row r="30" spans="3:17" x14ac:dyDescent="0.3">
      <c r="O30">
        <v>0.26</v>
      </c>
      <c r="P30">
        <f t="shared" si="0"/>
        <v>8.3806747969182013E-2</v>
      </c>
      <c r="Q30">
        <f t="shared" si="1"/>
        <v>0.11816250000000002</v>
      </c>
    </row>
    <row r="31" spans="3:17" x14ac:dyDescent="0.3">
      <c r="O31">
        <v>0.27</v>
      </c>
      <c r="P31">
        <f t="shared" si="0"/>
        <v>8.5609220000306852E-2</v>
      </c>
      <c r="Q31">
        <f t="shared" si="1"/>
        <v>0.11097000000000001</v>
      </c>
    </row>
    <row r="32" spans="3:17" x14ac:dyDescent="0.3">
      <c r="G32" t="s">
        <v>217</v>
      </c>
      <c r="O32">
        <v>0.28000000000000003</v>
      </c>
      <c r="P32">
        <f t="shared" si="0"/>
        <v>8.7411692031431676E-2</v>
      </c>
      <c r="Q32">
        <f t="shared" si="1"/>
        <v>0.10377749999999999</v>
      </c>
    </row>
    <row r="33" spans="7:17" x14ac:dyDescent="0.3">
      <c r="G33" t="s">
        <v>218</v>
      </c>
      <c r="H33" s="83">
        <v>0.35</v>
      </c>
      <c r="O33">
        <v>0.28999999999999998</v>
      </c>
      <c r="P33">
        <f t="shared" si="0"/>
        <v>8.92141640625565E-2</v>
      </c>
      <c r="Q33">
        <f t="shared" si="1"/>
        <v>9.658499999999999E-2</v>
      </c>
    </row>
    <row r="34" spans="7:17" x14ac:dyDescent="0.3">
      <c r="O34">
        <v>0.3</v>
      </c>
      <c r="P34">
        <f t="shared" si="0"/>
        <v>9.1016636093681325E-2</v>
      </c>
      <c r="Q34">
        <f t="shared" si="1"/>
        <v>8.9392500000000027E-2</v>
      </c>
    </row>
    <row r="35" spans="7:17" x14ac:dyDescent="0.3">
      <c r="O35">
        <v>0.31</v>
      </c>
      <c r="P35">
        <f t="shared" si="0"/>
        <v>9.2819108124806149E-2</v>
      </c>
      <c r="Q35">
        <f t="shared" si="1"/>
        <v>8.2200000000000023E-2</v>
      </c>
    </row>
    <row r="36" spans="7:17" x14ac:dyDescent="0.3">
      <c r="O36">
        <v>0.32</v>
      </c>
      <c r="P36">
        <f t="shared" si="0"/>
        <v>9.4621580155930987E-2</v>
      </c>
      <c r="Q36">
        <f t="shared" si="1"/>
        <v>7.5007500000000019E-2</v>
      </c>
    </row>
    <row r="37" spans="7:17" x14ac:dyDescent="0.3">
      <c r="O37">
        <v>0.33</v>
      </c>
      <c r="P37">
        <f t="shared" ref="P37:P68" si="2">(O36-$H$5+0.05)/($I$13/$I$22*(1-$H$33)*$E$17/$E$4*$E$18)</f>
        <v>9.6424052187055811E-2</v>
      </c>
      <c r="Q37">
        <f t="shared" ref="Q37:Q68" si="3">(O36 + $M$6/$M$7 - $M$10)/($M$8/$M$7*$E$17/$E$4*$E$18)</f>
        <v>6.7815000000000014E-2</v>
      </c>
    </row>
    <row r="38" spans="7:17" x14ac:dyDescent="0.3">
      <c r="O38">
        <v>0.34</v>
      </c>
      <c r="P38">
        <f t="shared" si="2"/>
        <v>9.822652421818065E-2</v>
      </c>
      <c r="Q38">
        <f t="shared" si="3"/>
        <v>6.0622500000000003E-2</v>
      </c>
    </row>
    <row r="39" spans="7:17" x14ac:dyDescent="0.3">
      <c r="O39">
        <v>0.35</v>
      </c>
      <c r="P39">
        <f t="shared" si="2"/>
        <v>0.10002899624930549</v>
      </c>
      <c r="Q39">
        <f t="shared" si="3"/>
        <v>5.3429999999999998E-2</v>
      </c>
    </row>
    <row r="40" spans="7:17" x14ac:dyDescent="0.3">
      <c r="O40">
        <v>0.36</v>
      </c>
      <c r="P40">
        <f t="shared" si="2"/>
        <v>0.1018314682804303</v>
      </c>
      <c r="Q40">
        <f t="shared" si="3"/>
        <v>4.6237500000000036E-2</v>
      </c>
    </row>
    <row r="41" spans="7:17" x14ac:dyDescent="0.3">
      <c r="O41">
        <v>0.37</v>
      </c>
      <c r="P41">
        <f t="shared" si="2"/>
        <v>0.10363394031155514</v>
      </c>
      <c r="Q41">
        <f t="shared" si="3"/>
        <v>3.9045000000000024E-2</v>
      </c>
    </row>
    <row r="42" spans="7:17" x14ac:dyDescent="0.3">
      <c r="O42">
        <v>0.38</v>
      </c>
      <c r="P42">
        <f t="shared" si="2"/>
        <v>0.10543641234267996</v>
      </c>
      <c r="Q42">
        <f t="shared" si="3"/>
        <v>3.185250000000002E-2</v>
      </c>
    </row>
    <row r="43" spans="7:17" x14ac:dyDescent="0.3">
      <c r="O43">
        <v>0.39</v>
      </c>
      <c r="P43">
        <f t="shared" si="2"/>
        <v>0.10723888437380479</v>
      </c>
      <c r="Q43">
        <f t="shared" si="3"/>
        <v>2.4660000000000015E-2</v>
      </c>
    </row>
    <row r="44" spans="7:17" x14ac:dyDescent="0.3">
      <c r="O44">
        <v>0.4</v>
      </c>
      <c r="P44">
        <f t="shared" si="2"/>
        <v>0.10904135640492962</v>
      </c>
      <c r="Q44">
        <f t="shared" si="3"/>
        <v>1.7467500000000007E-2</v>
      </c>
    </row>
    <row r="45" spans="7:17" x14ac:dyDescent="0.3">
      <c r="O45">
        <v>0.41</v>
      </c>
      <c r="P45">
        <f t="shared" si="2"/>
        <v>0.11084382843605445</v>
      </c>
      <c r="Q45">
        <f t="shared" si="3"/>
        <v>1.0275000000000003E-2</v>
      </c>
    </row>
    <row r="46" spans="7:17" x14ac:dyDescent="0.3">
      <c r="O46">
        <v>0.42</v>
      </c>
      <c r="P46">
        <f t="shared" si="2"/>
        <v>0.11264630046717926</v>
      </c>
      <c r="Q46">
        <f t="shared" si="3"/>
        <v>3.0825000000000366E-3</v>
      </c>
    </row>
    <row r="47" spans="7:17" x14ac:dyDescent="0.3">
      <c r="O47">
        <v>0.43</v>
      </c>
      <c r="P47">
        <f t="shared" si="2"/>
        <v>0.11444877249830408</v>
      </c>
      <c r="Q47">
        <f t="shared" si="3"/>
        <v>-4.1099999999999696E-3</v>
      </c>
    </row>
    <row r="48" spans="7:17" x14ac:dyDescent="0.3">
      <c r="O48">
        <v>0.44</v>
      </c>
      <c r="P48">
        <f t="shared" si="2"/>
        <v>0.11625124452942892</v>
      </c>
      <c r="Q48">
        <f t="shared" si="3"/>
        <v>-1.1302499999999976E-2</v>
      </c>
    </row>
    <row r="49" spans="15:17" x14ac:dyDescent="0.3">
      <c r="O49">
        <v>0.45</v>
      </c>
      <c r="P49">
        <f t="shared" si="2"/>
        <v>0.11805371656055375</v>
      </c>
      <c r="Q49">
        <f t="shared" si="3"/>
        <v>-1.849499999999998E-2</v>
      </c>
    </row>
    <row r="50" spans="15:17" x14ac:dyDescent="0.3">
      <c r="O50">
        <v>0.46</v>
      </c>
      <c r="P50">
        <f t="shared" si="2"/>
        <v>0.11985618859167858</v>
      </c>
      <c r="Q50">
        <f t="shared" si="3"/>
        <v>-2.5687499999999988E-2</v>
      </c>
    </row>
    <row r="51" spans="15:17" x14ac:dyDescent="0.3">
      <c r="O51">
        <v>0.47</v>
      </c>
      <c r="P51">
        <f t="shared" si="2"/>
        <v>0.12165866062280341</v>
      </c>
      <c r="Q51">
        <f t="shared" si="3"/>
        <v>-3.2879999999999993E-2</v>
      </c>
    </row>
    <row r="52" spans="15:17" x14ac:dyDescent="0.3">
      <c r="O52">
        <v>0.48</v>
      </c>
      <c r="P52">
        <f t="shared" si="2"/>
        <v>0.12346113265392823</v>
      </c>
      <c r="Q52">
        <f t="shared" si="3"/>
        <v>-4.0072499999999962E-2</v>
      </c>
    </row>
    <row r="53" spans="15:17" x14ac:dyDescent="0.3">
      <c r="O53">
        <v>0.49</v>
      </c>
      <c r="P53">
        <f t="shared" si="2"/>
        <v>0.12526360468505307</v>
      </c>
      <c r="Q53">
        <f t="shared" si="3"/>
        <v>-4.7264999999999967E-2</v>
      </c>
    </row>
    <row r="54" spans="15:17" x14ac:dyDescent="0.3">
      <c r="O54">
        <v>0.5</v>
      </c>
      <c r="P54">
        <f t="shared" si="2"/>
        <v>0.12706607671617789</v>
      </c>
      <c r="Q54">
        <f t="shared" si="3"/>
        <v>-5.4457499999999971E-2</v>
      </c>
    </row>
    <row r="55" spans="15:17" x14ac:dyDescent="0.3">
      <c r="O55">
        <v>0.51</v>
      </c>
      <c r="P55">
        <f t="shared" si="2"/>
        <v>0.12886854874730272</v>
      </c>
      <c r="Q55">
        <f t="shared" si="3"/>
        <v>-6.1649999999999976E-2</v>
      </c>
    </row>
    <row r="56" spans="15:17" x14ac:dyDescent="0.3">
      <c r="O56">
        <v>0.52</v>
      </c>
      <c r="P56">
        <f t="shared" si="2"/>
        <v>0.13067102077842754</v>
      </c>
      <c r="Q56">
        <f t="shared" si="3"/>
        <v>-6.8842499999999987E-2</v>
      </c>
    </row>
    <row r="57" spans="15:17" x14ac:dyDescent="0.3">
      <c r="O57">
        <v>0.53</v>
      </c>
      <c r="P57">
        <f t="shared" si="2"/>
        <v>0.1324734928095524</v>
      </c>
      <c r="Q57">
        <f t="shared" si="3"/>
        <v>-7.6034999999999991E-2</v>
      </c>
    </row>
    <row r="58" spans="15:17" x14ac:dyDescent="0.3">
      <c r="O58">
        <v>0.54</v>
      </c>
      <c r="P58">
        <f t="shared" si="2"/>
        <v>0.13427596484067722</v>
      </c>
      <c r="Q58">
        <f t="shared" si="3"/>
        <v>-8.3227499999999996E-2</v>
      </c>
    </row>
    <row r="59" spans="15:17" x14ac:dyDescent="0.3">
      <c r="O59">
        <v>0.55000000000000004</v>
      </c>
      <c r="P59">
        <f t="shared" si="2"/>
        <v>0.13607843687180204</v>
      </c>
      <c r="Q59">
        <f t="shared" si="3"/>
        <v>-9.042E-2</v>
      </c>
    </row>
    <row r="60" spans="15:17" x14ac:dyDescent="0.3">
      <c r="O60">
        <v>0.56000000000000005</v>
      </c>
      <c r="P60">
        <f t="shared" si="2"/>
        <v>0.13788090890292687</v>
      </c>
      <c r="Q60">
        <f t="shared" si="3"/>
        <v>-9.7612500000000005E-2</v>
      </c>
    </row>
    <row r="61" spans="15:17" x14ac:dyDescent="0.3">
      <c r="O61">
        <v>0.56999999999999995</v>
      </c>
      <c r="P61">
        <f t="shared" si="2"/>
        <v>0.13968338093405169</v>
      </c>
      <c r="Q61">
        <f t="shared" si="3"/>
        <v>-0.10480500000000001</v>
      </c>
    </row>
    <row r="62" spans="15:17" x14ac:dyDescent="0.3">
      <c r="O62">
        <v>0.57999999999999996</v>
      </c>
      <c r="P62">
        <f t="shared" si="2"/>
        <v>0.14148585296517652</v>
      </c>
      <c r="Q62">
        <f t="shared" si="3"/>
        <v>-0.11199749999999994</v>
      </c>
    </row>
    <row r="63" spans="15:17" x14ac:dyDescent="0.3">
      <c r="O63">
        <v>0.59</v>
      </c>
      <c r="P63">
        <f t="shared" si="2"/>
        <v>0.14328832499630134</v>
      </c>
      <c r="Q63">
        <f t="shared" si="3"/>
        <v>-0.11918999999999995</v>
      </c>
    </row>
    <row r="64" spans="15:17" x14ac:dyDescent="0.3">
      <c r="O64">
        <v>0.6</v>
      </c>
      <c r="P64">
        <f t="shared" si="2"/>
        <v>0.14509079702742617</v>
      </c>
      <c r="Q64">
        <f t="shared" si="3"/>
        <v>-0.12638249999999995</v>
      </c>
    </row>
    <row r="65" spans="15:17" x14ac:dyDescent="0.3">
      <c r="O65">
        <v>0.61</v>
      </c>
      <c r="P65">
        <f t="shared" si="2"/>
        <v>0.14689326905855099</v>
      </c>
      <c r="Q65">
        <f t="shared" si="3"/>
        <v>-0.13357499999999994</v>
      </c>
    </row>
    <row r="66" spans="15:17" x14ac:dyDescent="0.3">
      <c r="O66">
        <v>0.62</v>
      </c>
      <c r="P66">
        <f t="shared" si="2"/>
        <v>0.14869574108967584</v>
      </c>
      <c r="Q66">
        <f t="shared" si="3"/>
        <v>-0.14076749999999996</v>
      </c>
    </row>
    <row r="67" spans="15:17" x14ac:dyDescent="0.3">
      <c r="O67">
        <v>0.63</v>
      </c>
      <c r="P67">
        <f t="shared" si="2"/>
        <v>0.15049821312080067</v>
      </c>
      <c r="Q67">
        <f t="shared" si="3"/>
        <v>-0.14795999999999998</v>
      </c>
    </row>
    <row r="68" spans="15:17" x14ac:dyDescent="0.3">
      <c r="O68">
        <v>0.64</v>
      </c>
      <c r="P68">
        <f t="shared" si="2"/>
        <v>0.15230068515192549</v>
      </c>
      <c r="Q68">
        <f t="shared" si="3"/>
        <v>-0.15515249999999997</v>
      </c>
    </row>
    <row r="69" spans="15:17" x14ac:dyDescent="0.3">
      <c r="O69">
        <v>0.65</v>
      </c>
      <c r="P69">
        <f t="shared" ref="P69:P104" si="4">(O68-$H$5+0.05)/($I$13/$I$22*(1-$H$33)*$E$17/$E$4*$E$18)</f>
        <v>0.15410315718305032</v>
      </c>
      <c r="Q69">
        <f t="shared" ref="Q69:Q104" si="5">(O68 + $M$6/$M$7 - $M$10)/($M$8/$M$7*$E$17/$E$4*$E$18)</f>
        <v>-0.16234499999999999</v>
      </c>
    </row>
    <row r="70" spans="15:17" x14ac:dyDescent="0.3">
      <c r="O70">
        <v>0.66</v>
      </c>
      <c r="P70">
        <f t="shared" si="4"/>
        <v>0.15590562921417514</v>
      </c>
      <c r="Q70">
        <f t="shared" si="5"/>
        <v>-0.16953749999999998</v>
      </c>
    </row>
    <row r="71" spans="15:17" x14ac:dyDescent="0.3">
      <c r="O71">
        <v>0.67</v>
      </c>
      <c r="P71">
        <f t="shared" si="4"/>
        <v>0.15770810124529999</v>
      </c>
      <c r="Q71">
        <f t="shared" si="5"/>
        <v>-0.17673</v>
      </c>
    </row>
    <row r="72" spans="15:17" x14ac:dyDescent="0.3">
      <c r="O72">
        <v>0.68</v>
      </c>
      <c r="P72">
        <f t="shared" si="4"/>
        <v>0.15951057327642482</v>
      </c>
      <c r="Q72">
        <f t="shared" si="5"/>
        <v>-0.18392249999999999</v>
      </c>
    </row>
    <row r="73" spans="15:17" x14ac:dyDescent="0.3">
      <c r="O73">
        <v>0.69</v>
      </c>
      <c r="P73">
        <f t="shared" si="4"/>
        <v>0.16131304530754964</v>
      </c>
      <c r="Q73">
        <f t="shared" si="5"/>
        <v>-0.19111500000000001</v>
      </c>
    </row>
    <row r="74" spans="15:17" x14ac:dyDescent="0.3">
      <c r="O74">
        <v>0.7</v>
      </c>
      <c r="P74">
        <f t="shared" si="4"/>
        <v>0.16311551733867444</v>
      </c>
      <c r="Q74">
        <f t="shared" si="5"/>
        <v>-0.19830749999999994</v>
      </c>
    </row>
    <row r="75" spans="15:17" x14ac:dyDescent="0.3">
      <c r="O75">
        <v>0.71</v>
      </c>
      <c r="P75">
        <f t="shared" si="4"/>
        <v>0.16491798936979929</v>
      </c>
      <c r="Q75">
        <f t="shared" si="5"/>
        <v>-0.20549999999999993</v>
      </c>
    </row>
    <row r="76" spans="15:17" x14ac:dyDescent="0.3">
      <c r="O76">
        <v>0.72</v>
      </c>
      <c r="P76">
        <f t="shared" si="4"/>
        <v>0.16672046140092411</v>
      </c>
      <c r="Q76">
        <f t="shared" si="5"/>
        <v>-0.21269249999999995</v>
      </c>
    </row>
    <row r="77" spans="15:17" x14ac:dyDescent="0.3">
      <c r="O77">
        <v>0.73</v>
      </c>
      <c r="P77">
        <f t="shared" si="4"/>
        <v>0.16852293343204894</v>
      </c>
      <c r="Q77">
        <f t="shared" si="5"/>
        <v>-0.21988499999999994</v>
      </c>
    </row>
    <row r="78" spans="15:17" x14ac:dyDescent="0.3">
      <c r="O78">
        <v>0.74</v>
      </c>
      <c r="P78">
        <f t="shared" si="4"/>
        <v>0.17032540546317376</v>
      </c>
      <c r="Q78">
        <f t="shared" si="5"/>
        <v>-0.22707749999999996</v>
      </c>
    </row>
    <row r="79" spans="15:17" x14ac:dyDescent="0.3">
      <c r="O79">
        <v>0.75</v>
      </c>
      <c r="P79">
        <f t="shared" si="4"/>
        <v>0.17212787749429859</v>
      </c>
      <c r="Q79">
        <f t="shared" si="5"/>
        <v>-0.23426999999999995</v>
      </c>
    </row>
    <row r="80" spans="15:17" x14ac:dyDescent="0.3">
      <c r="O80">
        <v>0.76</v>
      </c>
      <c r="P80">
        <f t="shared" si="4"/>
        <v>0.17393034952542344</v>
      </c>
      <c r="Q80">
        <f t="shared" si="5"/>
        <v>-0.24146249999999997</v>
      </c>
    </row>
    <row r="81" spans="15:17" x14ac:dyDescent="0.3">
      <c r="O81">
        <v>0.77</v>
      </c>
      <c r="P81">
        <f t="shared" si="4"/>
        <v>0.17573282155654826</v>
      </c>
      <c r="Q81">
        <f t="shared" si="5"/>
        <v>-0.24865499999999996</v>
      </c>
    </row>
    <row r="82" spans="15:17" x14ac:dyDescent="0.3">
      <c r="O82">
        <v>0.78</v>
      </c>
      <c r="P82">
        <f t="shared" si="4"/>
        <v>0.17753529358767309</v>
      </c>
      <c r="Q82">
        <f t="shared" si="5"/>
        <v>-0.25584750000000001</v>
      </c>
    </row>
    <row r="83" spans="15:17" x14ac:dyDescent="0.3">
      <c r="O83">
        <v>0.79</v>
      </c>
      <c r="P83">
        <f t="shared" si="4"/>
        <v>0.17933776561879791</v>
      </c>
      <c r="Q83">
        <f t="shared" si="5"/>
        <v>-0.26304</v>
      </c>
    </row>
    <row r="84" spans="15:17" x14ac:dyDescent="0.3">
      <c r="O84">
        <v>0.8</v>
      </c>
      <c r="P84">
        <f t="shared" si="4"/>
        <v>0.18114023764992274</v>
      </c>
      <c r="Q84">
        <f t="shared" si="5"/>
        <v>-0.27023249999999999</v>
      </c>
    </row>
    <row r="85" spans="15:17" x14ac:dyDescent="0.3">
      <c r="O85">
        <v>0.81</v>
      </c>
      <c r="P85">
        <f t="shared" si="4"/>
        <v>0.18294270968104759</v>
      </c>
      <c r="Q85">
        <f t="shared" si="5"/>
        <v>-0.27742499999999998</v>
      </c>
    </row>
    <row r="86" spans="15:17" x14ac:dyDescent="0.3">
      <c r="O86">
        <v>0.82</v>
      </c>
      <c r="P86">
        <f t="shared" si="4"/>
        <v>0.18474518171217241</v>
      </c>
      <c r="Q86">
        <f t="shared" si="5"/>
        <v>-0.28461750000000002</v>
      </c>
    </row>
    <row r="87" spans="15:17" x14ac:dyDescent="0.3">
      <c r="O87">
        <v>0.83</v>
      </c>
      <c r="P87">
        <f t="shared" si="4"/>
        <v>0.18654765374329718</v>
      </c>
      <c r="Q87">
        <f t="shared" si="5"/>
        <v>-0.2918099999999999</v>
      </c>
    </row>
    <row r="88" spans="15:17" x14ac:dyDescent="0.3">
      <c r="O88">
        <v>0.84</v>
      </c>
      <c r="P88">
        <f t="shared" si="4"/>
        <v>0.18835012577442203</v>
      </c>
      <c r="Q88">
        <f t="shared" si="5"/>
        <v>-0.29900249999999995</v>
      </c>
    </row>
    <row r="89" spans="15:17" x14ac:dyDescent="0.3">
      <c r="O89">
        <v>0.85</v>
      </c>
      <c r="P89">
        <f t="shared" si="4"/>
        <v>0.19015259780554689</v>
      </c>
      <c r="Q89">
        <f t="shared" si="5"/>
        <v>-0.30619499999999994</v>
      </c>
    </row>
    <row r="90" spans="15:17" x14ac:dyDescent="0.3">
      <c r="O90">
        <v>0.86</v>
      </c>
      <c r="P90">
        <f t="shared" si="4"/>
        <v>0.19195506983667168</v>
      </c>
      <c r="Q90">
        <f t="shared" si="5"/>
        <v>-0.31338749999999993</v>
      </c>
    </row>
    <row r="91" spans="15:17" x14ac:dyDescent="0.3">
      <c r="O91">
        <v>0.87</v>
      </c>
      <c r="P91">
        <f t="shared" si="4"/>
        <v>0.19375754186779656</v>
      </c>
      <c r="Q91">
        <f t="shared" si="5"/>
        <v>-0.32057999999999998</v>
      </c>
    </row>
    <row r="92" spans="15:17" x14ac:dyDescent="0.3">
      <c r="O92">
        <v>0.88</v>
      </c>
      <c r="P92">
        <f t="shared" si="4"/>
        <v>0.19556001389892133</v>
      </c>
      <c r="Q92">
        <f t="shared" si="5"/>
        <v>-0.32777249999999997</v>
      </c>
    </row>
    <row r="93" spans="15:17" x14ac:dyDescent="0.3">
      <c r="O93">
        <v>0.89</v>
      </c>
      <c r="P93">
        <f t="shared" si="4"/>
        <v>0.19736248593004621</v>
      </c>
      <c r="Q93">
        <f t="shared" si="5"/>
        <v>-0.33496499999999996</v>
      </c>
    </row>
    <row r="94" spans="15:17" x14ac:dyDescent="0.3">
      <c r="O94">
        <v>0.9</v>
      </c>
      <c r="P94">
        <f t="shared" si="4"/>
        <v>0.19916495796117101</v>
      </c>
      <c r="Q94">
        <f t="shared" si="5"/>
        <v>-0.34215749999999995</v>
      </c>
    </row>
    <row r="95" spans="15:17" x14ac:dyDescent="0.3">
      <c r="O95">
        <v>0.91</v>
      </c>
      <c r="P95">
        <f t="shared" si="4"/>
        <v>0.20096742999229586</v>
      </c>
      <c r="Q95">
        <f t="shared" si="5"/>
        <v>-0.34934999999999999</v>
      </c>
    </row>
    <row r="96" spans="15:17" x14ac:dyDescent="0.3">
      <c r="O96">
        <v>0.92</v>
      </c>
      <c r="P96">
        <f t="shared" si="4"/>
        <v>0.20276990202342066</v>
      </c>
      <c r="Q96">
        <f t="shared" si="5"/>
        <v>-0.35654249999999998</v>
      </c>
    </row>
    <row r="97" spans="15:17" x14ac:dyDescent="0.3">
      <c r="O97">
        <v>0.93</v>
      </c>
      <c r="P97">
        <f t="shared" si="4"/>
        <v>0.20457237405454554</v>
      </c>
      <c r="Q97">
        <f t="shared" si="5"/>
        <v>-0.36373500000000003</v>
      </c>
    </row>
    <row r="98" spans="15:17" x14ac:dyDescent="0.3">
      <c r="O98">
        <v>0.94</v>
      </c>
      <c r="P98">
        <f t="shared" si="4"/>
        <v>0.20637484608567033</v>
      </c>
      <c r="Q98">
        <f t="shared" si="5"/>
        <v>-0.37092750000000002</v>
      </c>
    </row>
    <row r="99" spans="15:17" x14ac:dyDescent="0.3">
      <c r="O99">
        <v>0.95</v>
      </c>
      <c r="P99">
        <f t="shared" si="4"/>
        <v>0.20817731811679516</v>
      </c>
      <c r="Q99">
        <f t="shared" si="5"/>
        <v>-0.3781199999999999</v>
      </c>
    </row>
    <row r="100" spans="15:17" x14ac:dyDescent="0.3">
      <c r="O100">
        <v>0.96</v>
      </c>
      <c r="P100">
        <f t="shared" si="4"/>
        <v>0.20997979014791998</v>
      </c>
      <c r="Q100">
        <f t="shared" si="5"/>
        <v>-0.38531249999999989</v>
      </c>
    </row>
    <row r="101" spans="15:17" x14ac:dyDescent="0.3">
      <c r="O101">
        <v>0.97</v>
      </c>
      <c r="P101">
        <f t="shared" si="4"/>
        <v>0.21178226217904481</v>
      </c>
      <c r="Q101">
        <f t="shared" si="5"/>
        <v>-0.39250499999999988</v>
      </c>
    </row>
    <row r="102" spans="15:17" x14ac:dyDescent="0.3">
      <c r="O102">
        <v>0.98</v>
      </c>
      <c r="P102">
        <f t="shared" si="4"/>
        <v>0.21358473421016963</v>
      </c>
      <c r="Q102">
        <f t="shared" si="5"/>
        <v>-0.39969749999999987</v>
      </c>
    </row>
    <row r="103" spans="15:17" x14ac:dyDescent="0.3">
      <c r="O103">
        <v>0.99</v>
      </c>
      <c r="P103">
        <f t="shared" si="4"/>
        <v>0.21538720624129445</v>
      </c>
      <c r="Q103">
        <f t="shared" si="5"/>
        <v>-0.40688999999999992</v>
      </c>
    </row>
    <row r="104" spans="15:17" x14ac:dyDescent="0.3">
      <c r="O104">
        <v>1</v>
      </c>
      <c r="P104">
        <f t="shared" si="4"/>
        <v>0.21718967827241931</v>
      </c>
      <c r="Q104">
        <f t="shared" si="5"/>
        <v>-0.41408249999999991</v>
      </c>
    </row>
  </sheetData>
  <dataValidations count="1">
    <dataValidation type="list" allowBlank="1" showInputMessage="1" showErrorMessage="1" sqref="A25" xr:uid="{9FDA8D1C-6972-401F-8E12-45097153EC02}">
      <formula1>$B$15:$B$16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E3B6-A293-4516-8E96-0AE2400256F2}">
  <dimension ref="C3:N17"/>
  <sheetViews>
    <sheetView workbookViewId="0">
      <selection activeCell="F20" sqref="F20"/>
    </sheetView>
  </sheetViews>
  <sheetFormatPr defaultRowHeight="14.4" x14ac:dyDescent="0.3"/>
  <cols>
    <col min="11" max="11" width="9.33203125" customWidth="1"/>
  </cols>
  <sheetData>
    <row r="3" spans="3:14" x14ac:dyDescent="0.3">
      <c r="C3" s="138" t="s">
        <v>122</v>
      </c>
      <c r="D3" s="138"/>
      <c r="E3" s="138"/>
      <c r="F3" s="138"/>
      <c r="G3" s="138"/>
      <c r="H3" s="138"/>
      <c r="I3" s="138"/>
      <c r="J3" s="138"/>
      <c r="K3" s="138"/>
      <c r="L3">
        <v>230.55500000000001</v>
      </c>
      <c r="M3" t="s">
        <v>304</v>
      </c>
      <c r="N3" t="s">
        <v>308</v>
      </c>
    </row>
    <row r="4" spans="3:14" x14ac:dyDescent="0.3">
      <c r="C4" s="138" t="s">
        <v>123</v>
      </c>
      <c r="D4" s="138"/>
      <c r="E4" s="138"/>
      <c r="F4" s="138"/>
      <c r="G4" s="138"/>
      <c r="H4" s="138"/>
      <c r="I4" s="138"/>
      <c r="J4" s="138"/>
      <c r="K4" s="138"/>
      <c r="L4">
        <v>72.022199999999998</v>
      </c>
      <c r="M4" t="s">
        <v>304</v>
      </c>
      <c r="N4" t="s">
        <v>307</v>
      </c>
    </row>
    <row r="5" spans="3:14" x14ac:dyDescent="0.3">
      <c r="C5" s="138" t="s">
        <v>124</v>
      </c>
      <c r="D5" s="138"/>
      <c r="E5" s="138"/>
      <c r="F5" s="138"/>
      <c r="G5" s="138"/>
      <c r="H5" s="138"/>
      <c r="I5" s="138"/>
      <c r="J5" s="138"/>
      <c r="K5" s="138"/>
      <c r="L5">
        <v>1</v>
      </c>
      <c r="M5" t="s">
        <v>301</v>
      </c>
      <c r="N5" t="s">
        <v>309</v>
      </c>
    </row>
    <row r="6" spans="3:14" x14ac:dyDescent="0.3">
      <c r="C6" s="142" t="s">
        <v>125</v>
      </c>
      <c r="D6" s="142"/>
      <c r="E6" s="142"/>
      <c r="F6" s="142"/>
      <c r="G6" s="142"/>
      <c r="H6" s="142"/>
      <c r="I6" s="142"/>
      <c r="J6" s="142"/>
      <c r="K6" s="142"/>
      <c r="L6" s="45"/>
    </row>
    <row r="7" spans="3:14" x14ac:dyDescent="0.3">
      <c r="C7" s="143" t="s">
        <v>126</v>
      </c>
      <c r="D7" s="143"/>
      <c r="E7" s="143"/>
      <c r="F7" s="143"/>
      <c r="G7" s="143"/>
      <c r="H7" s="143"/>
      <c r="I7" s="143"/>
      <c r="J7" s="143"/>
      <c r="K7" s="143"/>
      <c r="L7" s="45"/>
    </row>
    <row r="8" spans="3:14" x14ac:dyDescent="0.3">
      <c r="C8" s="45"/>
      <c r="D8" s="143" t="s">
        <v>68</v>
      </c>
      <c r="E8" s="143"/>
      <c r="F8" s="143"/>
      <c r="G8" s="143"/>
      <c r="H8" s="143"/>
      <c r="I8" s="143"/>
      <c r="J8" s="143"/>
      <c r="K8" s="143"/>
      <c r="L8" s="45"/>
    </row>
    <row r="9" spans="3:14" x14ac:dyDescent="0.3">
      <c r="C9" s="45"/>
      <c r="D9" s="142" t="s">
        <v>80</v>
      </c>
      <c r="E9" s="142"/>
      <c r="F9" s="142"/>
      <c r="G9" s="142"/>
      <c r="H9" s="142"/>
      <c r="I9" s="142"/>
      <c r="J9" s="142"/>
      <c r="K9" s="142"/>
      <c r="L9" s="45"/>
    </row>
    <row r="10" spans="3:14" x14ac:dyDescent="0.3">
      <c r="C10" s="139" t="s">
        <v>127</v>
      </c>
      <c r="D10" s="139"/>
      <c r="E10" s="139"/>
      <c r="F10" s="139"/>
      <c r="G10" s="139"/>
      <c r="H10" s="139"/>
      <c r="I10" s="139"/>
      <c r="J10" s="139"/>
      <c r="K10" s="139"/>
    </row>
    <row r="11" spans="3:14" x14ac:dyDescent="0.3">
      <c r="C11" s="138" t="s">
        <v>128</v>
      </c>
      <c r="D11" s="138"/>
      <c r="E11" s="138"/>
      <c r="F11" s="138"/>
      <c r="G11" s="138"/>
      <c r="H11" s="138"/>
      <c r="I11" s="138"/>
      <c r="J11" s="138"/>
      <c r="K11" s="138"/>
    </row>
    <row r="12" spans="3:14" ht="30.6" customHeight="1" x14ac:dyDescent="0.3">
      <c r="D12" s="138" t="s">
        <v>129</v>
      </c>
      <c r="E12" s="138"/>
      <c r="F12" s="138"/>
      <c r="G12" s="138"/>
      <c r="H12" s="138"/>
      <c r="I12" s="138"/>
      <c r="J12" s="138"/>
      <c r="K12" s="138"/>
    </row>
    <row r="13" spans="3:14" x14ac:dyDescent="0.3">
      <c r="D13" s="138" t="s">
        <v>80</v>
      </c>
      <c r="E13" s="138"/>
      <c r="F13" s="138"/>
      <c r="G13" s="138"/>
      <c r="H13" s="138"/>
      <c r="I13" s="138"/>
      <c r="J13" s="138"/>
      <c r="K13" s="138"/>
    </row>
    <row r="14" spans="3:14" x14ac:dyDescent="0.3">
      <c r="D14" s="139" t="s">
        <v>130</v>
      </c>
      <c r="E14" s="139"/>
      <c r="F14" s="139"/>
      <c r="G14" s="139"/>
      <c r="H14" s="139"/>
      <c r="I14" s="139"/>
      <c r="J14" s="139"/>
      <c r="K14" s="139"/>
    </row>
    <row r="15" spans="3:14" x14ac:dyDescent="0.3">
      <c r="C15" s="139" t="s">
        <v>131</v>
      </c>
      <c r="D15" s="139"/>
      <c r="E15" s="139"/>
      <c r="F15" s="139"/>
      <c r="G15" s="139"/>
      <c r="H15" s="139"/>
      <c r="I15" s="139"/>
      <c r="J15" s="139"/>
      <c r="K15" s="139"/>
    </row>
    <row r="16" spans="3:14" x14ac:dyDescent="0.3">
      <c r="C16" s="138" t="s">
        <v>132</v>
      </c>
      <c r="D16" s="138"/>
      <c r="E16" s="138"/>
      <c r="F16" s="138"/>
      <c r="G16" s="138"/>
      <c r="H16" s="138"/>
      <c r="I16" s="138"/>
      <c r="J16" s="138"/>
      <c r="K16" s="138"/>
    </row>
    <row r="17" ht="30.6" customHeight="1" x14ac:dyDescent="0.3"/>
  </sheetData>
  <mergeCells count="14">
    <mergeCell ref="C5:K5"/>
    <mergeCell ref="C4:K4"/>
    <mergeCell ref="C3:K3"/>
    <mergeCell ref="C16:K16"/>
    <mergeCell ref="C10:K10"/>
    <mergeCell ref="D9:K9"/>
    <mergeCell ref="D8:K8"/>
    <mergeCell ref="C6:K6"/>
    <mergeCell ref="C11:K11"/>
    <mergeCell ref="C7:K7"/>
    <mergeCell ref="D12:K12"/>
    <mergeCell ref="D13:K13"/>
    <mergeCell ref="D14:K14"/>
    <mergeCell ref="C15:K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1A416-EB36-4C65-AC4D-FF6E48530D76}">
  <dimension ref="B3:AB59"/>
  <sheetViews>
    <sheetView topLeftCell="A19" zoomScale="56" workbookViewId="0">
      <selection activeCell="N33" sqref="N33"/>
    </sheetView>
  </sheetViews>
  <sheetFormatPr defaultRowHeight="14.4" x14ac:dyDescent="0.3"/>
  <cols>
    <col min="2" max="2" width="32" customWidth="1"/>
    <col min="4" max="4" width="20.109375" bestFit="1" customWidth="1"/>
    <col min="5" max="5" width="12.6640625" bestFit="1" customWidth="1"/>
    <col min="12" max="12" width="36.109375" bestFit="1" customWidth="1"/>
  </cols>
  <sheetData>
    <row r="3" spans="2:28" x14ac:dyDescent="0.3">
      <c r="B3" s="23" t="s">
        <v>57</v>
      </c>
      <c r="C3" s="21"/>
    </row>
    <row r="4" spans="2:28" ht="15" thickBot="1" x14ac:dyDescent="0.35">
      <c r="B4" s="21">
        <v>23188</v>
      </c>
      <c r="C4" s="21" t="s">
        <v>58</v>
      </c>
    </row>
    <row r="5" spans="2:28" x14ac:dyDescent="0.3">
      <c r="B5" s="140" t="s">
        <v>59</v>
      </c>
      <c r="C5" s="141"/>
      <c r="D5" s="113"/>
      <c r="E5" s="47"/>
      <c r="I5" s="21" t="s">
        <v>60</v>
      </c>
      <c r="J5" t="s">
        <v>61</v>
      </c>
      <c r="K5" t="s">
        <v>62</v>
      </c>
      <c r="L5" t="s">
        <v>63</v>
      </c>
      <c r="O5" s="21" t="s">
        <v>64</v>
      </c>
      <c r="P5" t="s">
        <v>61</v>
      </c>
      <c r="Q5" t="s">
        <v>62</v>
      </c>
      <c r="R5" t="s">
        <v>63</v>
      </c>
    </row>
    <row r="6" spans="2:28" x14ac:dyDescent="0.3">
      <c r="B6" s="28" t="s">
        <v>65</v>
      </c>
      <c r="C6" s="26" t="s">
        <v>66</v>
      </c>
      <c r="D6" s="29" t="s">
        <v>61</v>
      </c>
      <c r="E6" s="46" t="s">
        <v>219</v>
      </c>
      <c r="F6" s="46" t="s">
        <v>67</v>
      </c>
      <c r="I6" t="s">
        <v>68</v>
      </c>
      <c r="J6" s="24">
        <f>D7</f>
        <v>4568.0359999999991</v>
      </c>
      <c r="K6">
        <f>($J$6*C19+$J$7*C23)/$J$8</f>
        <v>19.994013071895427</v>
      </c>
      <c r="L6">
        <f>($J$6*D19+$J$7*D23)/$J$8</f>
        <v>0.2440130718954249</v>
      </c>
      <c r="O6" t="s">
        <v>69</v>
      </c>
      <c r="P6" s="24">
        <f>D13</f>
        <v>3084.0040000000004</v>
      </c>
      <c r="Q6">
        <f>($P$6*C25+$P$7*C22+$P$8*C21+$P$9*C20+$P$10*C26+$P$11*C24)/SUM($P$6:$P$11)</f>
        <v>20.404461400359068</v>
      </c>
      <c r="R6">
        <f>($P$6*D25+$P$7*D22+$P$8*D21+$P$9*D20+$P$10*D26+$P$11*D24)/SUM($P$6:$P$11)</f>
        <v>0.6544614003590673</v>
      </c>
    </row>
    <row r="7" spans="2:28" x14ac:dyDescent="0.3">
      <c r="B7" s="30" t="s">
        <v>68</v>
      </c>
      <c r="C7" s="27">
        <v>19.7</v>
      </c>
      <c r="D7" s="31">
        <f>C7/100 *$B$4</f>
        <v>4568.0359999999991</v>
      </c>
      <c r="E7" s="48">
        <f>D7*0.91</f>
        <v>4156.9127599999993</v>
      </c>
      <c r="F7">
        <f>SUMPRODUCT(D7:D14,C19:C26)/D15</f>
        <v>20.275564449917905</v>
      </c>
      <c r="G7" t="s">
        <v>70</v>
      </c>
      <c r="I7" t="s">
        <v>71</v>
      </c>
      <c r="J7" s="24">
        <f>D11</f>
        <v>1344.904</v>
      </c>
      <c r="O7" t="s">
        <v>72</v>
      </c>
      <c r="P7" s="24">
        <f>D10</f>
        <v>8115.7999999999993</v>
      </c>
    </row>
    <row r="8" spans="2:28" x14ac:dyDescent="0.3">
      <c r="B8" s="30" t="s">
        <v>73</v>
      </c>
      <c r="C8" s="27">
        <v>2.5</v>
      </c>
      <c r="D8" s="31">
        <f t="shared" ref="D8:D16" si="0">C8/100 *$B$4</f>
        <v>579.70000000000005</v>
      </c>
      <c r="E8" s="48"/>
      <c r="F8">
        <f>SUMPRODUCT(D7:D14,D19:D26)/D15</f>
        <v>0.52556444991789908</v>
      </c>
      <c r="G8" t="s">
        <v>74</v>
      </c>
      <c r="J8" s="24">
        <f>SUM(J6:J7)</f>
        <v>5912.9399999999987</v>
      </c>
      <c r="O8" t="s">
        <v>76</v>
      </c>
      <c r="P8" s="24">
        <f>D9</f>
        <v>417.38400000000007</v>
      </c>
      <c r="V8" t="s">
        <v>220</v>
      </c>
      <c r="Z8" t="s">
        <v>221</v>
      </c>
      <c r="AA8" t="s">
        <v>222</v>
      </c>
      <c r="AB8" t="s">
        <v>223</v>
      </c>
    </row>
    <row r="9" spans="2:28" x14ac:dyDescent="0.3">
      <c r="B9" s="30" t="s">
        <v>77</v>
      </c>
      <c r="C9" s="27">
        <v>1.8</v>
      </c>
      <c r="D9" s="31">
        <f t="shared" si="0"/>
        <v>417.38400000000007</v>
      </c>
      <c r="E9" s="48"/>
      <c r="G9" t="s">
        <v>78</v>
      </c>
      <c r="O9" t="s">
        <v>79</v>
      </c>
      <c r="P9" s="24">
        <f>D8</f>
        <v>579.70000000000005</v>
      </c>
      <c r="V9" t="s">
        <v>224</v>
      </c>
      <c r="X9">
        <f>1300/1000</f>
        <v>1.3</v>
      </c>
      <c r="Y9" t="s">
        <v>225</v>
      </c>
    </row>
    <row r="10" spans="2:28" x14ac:dyDescent="0.3">
      <c r="B10" s="30" t="s">
        <v>80</v>
      </c>
      <c r="C10" s="27">
        <v>35</v>
      </c>
      <c r="D10" s="31">
        <f t="shared" si="0"/>
        <v>8115.7999999999993</v>
      </c>
      <c r="E10" s="48">
        <f>D10*0.93</f>
        <v>7547.6939999999995</v>
      </c>
      <c r="O10" t="s">
        <v>81</v>
      </c>
      <c r="P10" s="24">
        <f>D14</f>
        <v>533.32399999999996</v>
      </c>
      <c r="V10" t="s">
        <v>226</v>
      </c>
      <c r="X10">
        <v>5.26</v>
      </c>
      <c r="Y10" t="s">
        <v>225</v>
      </c>
      <c r="Z10">
        <f>X10-X9</f>
        <v>3.96</v>
      </c>
      <c r="AA10">
        <f>Z10/X10 * 100</f>
        <v>75.285171102661593</v>
      </c>
      <c r="AB10">
        <f>100-AA10</f>
        <v>24.714828897338407</v>
      </c>
    </row>
    <row r="11" spans="2:28" x14ac:dyDescent="0.3">
      <c r="B11" s="30" t="s">
        <v>82</v>
      </c>
      <c r="C11" s="27">
        <v>5.8</v>
      </c>
      <c r="D11" s="31">
        <f t="shared" si="0"/>
        <v>1344.904</v>
      </c>
      <c r="E11" s="48"/>
      <c r="O11" t="s">
        <v>83</v>
      </c>
      <c r="P11" s="24">
        <f>D12</f>
        <v>185.50399999999999</v>
      </c>
      <c r="V11" t="s">
        <v>227</v>
      </c>
      <c r="X11">
        <v>1.6</v>
      </c>
      <c r="Y11" t="s">
        <v>225</v>
      </c>
    </row>
    <row r="12" spans="2:28" x14ac:dyDescent="0.3">
      <c r="B12" s="30" t="s">
        <v>84</v>
      </c>
      <c r="C12" s="27">
        <v>0.8</v>
      </c>
      <c r="D12" s="31">
        <f t="shared" si="0"/>
        <v>185.50399999999999</v>
      </c>
      <c r="E12" s="48"/>
      <c r="P12" s="24">
        <f>SUM(P6:P11)</f>
        <v>12915.716000000002</v>
      </c>
      <c r="V12" t="s">
        <v>228</v>
      </c>
      <c r="X12">
        <v>14.41</v>
      </c>
      <c r="Y12" t="s">
        <v>225</v>
      </c>
      <c r="Z12">
        <f>X12-X11</f>
        <v>12.81</v>
      </c>
      <c r="AA12">
        <f>Z12/X12 * 100</f>
        <v>88.896599583622475</v>
      </c>
      <c r="AB12">
        <f>100-AA12</f>
        <v>11.103400416377525</v>
      </c>
    </row>
    <row r="13" spans="2:28" x14ac:dyDescent="0.3">
      <c r="B13" s="30" t="s">
        <v>85</v>
      </c>
      <c r="C13" s="27">
        <v>13.3</v>
      </c>
      <c r="D13" s="31">
        <f t="shared" si="0"/>
        <v>3084.0040000000004</v>
      </c>
      <c r="E13" s="48"/>
    </row>
    <row r="14" spans="2:28" x14ac:dyDescent="0.3">
      <c r="B14" s="30" t="s">
        <v>86</v>
      </c>
      <c r="C14" s="27">
        <v>2.2999999999999998</v>
      </c>
      <c r="D14" s="31">
        <f t="shared" si="0"/>
        <v>533.32399999999996</v>
      </c>
      <c r="E14" s="48"/>
    </row>
    <row r="15" spans="2:28" ht="15" thickBot="1" x14ac:dyDescent="0.35">
      <c r="B15" s="32" t="s">
        <v>75</v>
      </c>
      <c r="C15" s="18">
        <f>SUM(C7:C14)</f>
        <v>81.199999999999989</v>
      </c>
      <c r="D15" s="33">
        <f>C15/100 *$B$4</f>
        <v>18828.655999999995</v>
      </c>
      <c r="E15" s="49"/>
      <c r="K15" t="s">
        <v>229</v>
      </c>
      <c r="V15" t="s">
        <v>230</v>
      </c>
      <c r="W15">
        <f>X12/4.17</f>
        <v>3.4556354916067149</v>
      </c>
    </row>
    <row r="16" spans="2:28" x14ac:dyDescent="0.3">
      <c r="C16">
        <v>100</v>
      </c>
      <c r="D16">
        <f t="shared" si="0"/>
        <v>23188</v>
      </c>
      <c r="V16" t="s">
        <v>231</v>
      </c>
    </row>
    <row r="17" spans="2:25" x14ac:dyDescent="0.3">
      <c r="K17" t="s">
        <v>232</v>
      </c>
      <c r="L17" t="s">
        <v>233</v>
      </c>
      <c r="M17" t="s">
        <v>234</v>
      </c>
      <c r="X17" t="s">
        <v>235</v>
      </c>
      <c r="Y17" t="s">
        <v>236</v>
      </c>
    </row>
    <row r="18" spans="2:25" x14ac:dyDescent="0.3">
      <c r="B18" t="s">
        <v>87</v>
      </c>
      <c r="C18" t="s">
        <v>88</v>
      </c>
      <c r="D18" t="s">
        <v>89</v>
      </c>
      <c r="K18">
        <v>1</v>
      </c>
      <c r="L18" t="s">
        <v>237</v>
      </c>
      <c r="M18" t="s">
        <v>238</v>
      </c>
      <c r="X18">
        <f>X12/4.17</f>
        <v>3.4556354916067149</v>
      </c>
      <c r="Y18">
        <f>X11/X18</f>
        <v>0.4630117973629424</v>
      </c>
    </row>
    <row r="19" spans="2:25" x14ac:dyDescent="0.3">
      <c r="B19" s="27" t="s">
        <v>68</v>
      </c>
      <c r="C19" s="40">
        <f>16.3+(2/3)*5.11</f>
        <v>19.706666666666667</v>
      </c>
      <c r="D19" s="40">
        <f>C19-$C$27</f>
        <v>-4.3333333333333002E-2</v>
      </c>
      <c r="E19" s="40"/>
      <c r="F19" s="25" t="s">
        <v>90</v>
      </c>
      <c r="K19">
        <v>2</v>
      </c>
      <c r="L19" t="s">
        <v>237</v>
      </c>
      <c r="M19" t="s">
        <v>239</v>
      </c>
    </row>
    <row r="20" spans="2:25" x14ac:dyDescent="0.3">
      <c r="B20" s="27" t="s">
        <v>73</v>
      </c>
      <c r="C20" s="40">
        <v>36.5</v>
      </c>
      <c r="D20" s="40">
        <f>C20-$C$27</f>
        <v>16.75</v>
      </c>
      <c r="E20" s="40"/>
      <c r="F20" s="25" t="s">
        <v>90</v>
      </c>
      <c r="K20" s="34">
        <v>3</v>
      </c>
      <c r="L20" t="s">
        <v>240</v>
      </c>
      <c r="M20" t="s">
        <v>241</v>
      </c>
    </row>
    <row r="21" spans="2:25" x14ac:dyDescent="0.3">
      <c r="B21" s="27" t="s">
        <v>77</v>
      </c>
      <c r="C21" s="40">
        <v>36</v>
      </c>
      <c r="D21" s="40">
        <f t="shared" ref="D21:D26" si="1">C21-$C$27</f>
        <v>16.25</v>
      </c>
      <c r="E21" s="40"/>
      <c r="F21" s="25" t="s">
        <v>90</v>
      </c>
      <c r="K21">
        <v>4</v>
      </c>
      <c r="L21" t="s">
        <v>242</v>
      </c>
      <c r="M21" t="s">
        <v>243</v>
      </c>
    </row>
    <row r="22" spans="2:25" x14ac:dyDescent="0.3">
      <c r="B22" s="27" t="s">
        <v>80</v>
      </c>
      <c r="C22" s="41">
        <f>((28.6-C26*2)/2)+(C26*2)</f>
        <v>16.535</v>
      </c>
      <c r="D22" s="40">
        <f t="shared" si="1"/>
        <v>-3.2149999999999999</v>
      </c>
      <c r="E22" s="40"/>
      <c r="F22" s="25" t="s">
        <v>90</v>
      </c>
      <c r="K22">
        <v>5</v>
      </c>
      <c r="L22" t="s">
        <v>244</v>
      </c>
    </row>
    <row r="23" spans="2:25" x14ac:dyDescent="0.3">
      <c r="B23" s="27" t="s">
        <v>82</v>
      </c>
      <c r="C23" s="40">
        <v>20.97</v>
      </c>
      <c r="D23" s="40">
        <f t="shared" si="1"/>
        <v>1.2199999999999989</v>
      </c>
      <c r="E23" s="40"/>
      <c r="F23" s="25" t="s">
        <v>90</v>
      </c>
      <c r="K23" s="34">
        <v>6</v>
      </c>
      <c r="L23" t="s">
        <v>245</v>
      </c>
      <c r="M23" t="s">
        <v>246</v>
      </c>
    </row>
    <row r="24" spans="2:25" x14ac:dyDescent="0.3">
      <c r="B24" s="27" t="s">
        <v>84</v>
      </c>
      <c r="C24" s="40">
        <v>2.17</v>
      </c>
      <c r="D24" s="40">
        <f t="shared" si="1"/>
        <v>-17.579999999999998</v>
      </c>
      <c r="E24" s="40"/>
      <c r="F24" s="25" t="s">
        <v>90</v>
      </c>
      <c r="K24">
        <v>7</v>
      </c>
      <c r="L24" t="s">
        <v>247</v>
      </c>
      <c r="M24" t="s">
        <v>248</v>
      </c>
    </row>
    <row r="25" spans="2:25" x14ac:dyDescent="0.3">
      <c r="B25" s="27" t="s">
        <v>85</v>
      </c>
      <c r="C25" s="40">
        <f>28.6+1.09</f>
        <v>29.69</v>
      </c>
      <c r="D25" s="40">
        <f t="shared" si="1"/>
        <v>9.9400000000000013</v>
      </c>
      <c r="E25" s="40"/>
      <c r="F25" s="25" t="s">
        <v>90</v>
      </c>
      <c r="K25">
        <v>8</v>
      </c>
      <c r="L25" t="s">
        <v>49</v>
      </c>
      <c r="M25" t="s">
        <v>249</v>
      </c>
    </row>
    <row r="26" spans="2:25" x14ac:dyDescent="0.3">
      <c r="B26" s="27" t="s">
        <v>86</v>
      </c>
      <c r="C26" s="40">
        <f>4.47/2</f>
        <v>2.2349999999999999</v>
      </c>
      <c r="D26" s="40">
        <f t="shared" si="1"/>
        <v>-17.515000000000001</v>
      </c>
      <c r="E26" s="40"/>
      <c r="F26" s="25" t="s">
        <v>90</v>
      </c>
      <c r="K26">
        <v>9</v>
      </c>
      <c r="L26" s="50" t="s">
        <v>250</v>
      </c>
      <c r="M26" t="s">
        <v>251</v>
      </c>
    </row>
    <row r="27" spans="2:25" x14ac:dyDescent="0.3">
      <c r="B27" s="45" t="s">
        <v>91</v>
      </c>
      <c r="C27" s="41">
        <f>16.3+3.45</f>
        <v>19.75</v>
      </c>
      <c r="D27" s="41"/>
      <c r="E27" s="41"/>
      <c r="K27">
        <v>10</v>
      </c>
      <c r="L27" s="50" t="s">
        <v>252</v>
      </c>
      <c r="M27" t="s">
        <v>253</v>
      </c>
    </row>
    <row r="28" spans="2:25" ht="15" thickBot="1" x14ac:dyDescent="0.35">
      <c r="K28">
        <v>11</v>
      </c>
      <c r="L28" t="s">
        <v>254</v>
      </c>
      <c r="M28" t="s">
        <v>255</v>
      </c>
    </row>
    <row r="29" spans="2:25" ht="15" thickBot="1" x14ac:dyDescent="0.35">
      <c r="B29" s="114" t="s">
        <v>92</v>
      </c>
      <c r="C29" s="115"/>
      <c r="D29" s="115"/>
      <c r="E29" s="25" t="s">
        <v>93</v>
      </c>
    </row>
    <row r="30" spans="2:25" x14ac:dyDescent="0.3">
      <c r="B30" s="36" t="s">
        <v>94</v>
      </c>
      <c r="C30" s="42">
        <v>77.39</v>
      </c>
      <c r="D30" s="37" t="s">
        <v>95</v>
      </c>
      <c r="E30" s="25" t="s">
        <v>96</v>
      </c>
    </row>
    <row r="31" spans="2:25" x14ac:dyDescent="0.3">
      <c r="B31" s="30" t="s">
        <v>97</v>
      </c>
      <c r="C31" s="40">
        <v>26.17</v>
      </c>
      <c r="D31" s="38" t="s">
        <v>90</v>
      </c>
      <c r="E31" s="25" t="s">
        <v>96</v>
      </c>
    </row>
    <row r="32" spans="2:25" x14ac:dyDescent="0.3">
      <c r="B32" s="30" t="s">
        <v>98</v>
      </c>
      <c r="C32" s="40">
        <v>0.23812886559999999</v>
      </c>
      <c r="D32" s="38" t="s">
        <v>99</v>
      </c>
      <c r="E32" s="25" t="s">
        <v>96</v>
      </c>
    </row>
    <row r="33" spans="2:11" x14ac:dyDescent="0.3">
      <c r="B33" s="30" t="s">
        <v>100</v>
      </c>
      <c r="C33" s="40">
        <v>5.887979488</v>
      </c>
      <c r="D33" s="38" t="s">
        <v>90</v>
      </c>
      <c r="E33" s="25" t="s">
        <v>101</v>
      </c>
    </row>
    <row r="34" spans="2:11" x14ac:dyDescent="0.3">
      <c r="B34" s="30" t="s">
        <v>102</v>
      </c>
      <c r="C34" s="43">
        <f>C33*C32</f>
        <v>1.4020978761535088</v>
      </c>
      <c r="D34" s="38" t="s">
        <v>90</v>
      </c>
      <c r="E34" s="25" t="s">
        <v>96</v>
      </c>
      <c r="K34" t="s">
        <v>258</v>
      </c>
    </row>
    <row r="35" spans="2:11" x14ac:dyDescent="0.3">
      <c r="B35" s="30" t="s">
        <v>103</v>
      </c>
      <c r="C35" s="40">
        <v>30</v>
      </c>
      <c r="D35" s="38" t="s">
        <v>104</v>
      </c>
      <c r="E35" s="25" t="s">
        <v>96</v>
      </c>
    </row>
    <row r="36" spans="2:11" ht="15" thickBot="1" x14ac:dyDescent="0.35">
      <c r="B36" s="35" t="s">
        <v>105</v>
      </c>
      <c r="C36" s="44">
        <f xml:space="preserve"> C31*C31/C30</f>
        <v>8.849578756945343</v>
      </c>
      <c r="D36" s="39" t="s">
        <v>99</v>
      </c>
      <c r="E36" s="25" t="s">
        <v>96</v>
      </c>
    </row>
    <row r="41" spans="2:11" x14ac:dyDescent="0.3">
      <c r="B41" t="s">
        <v>106</v>
      </c>
      <c r="C41">
        <v>88</v>
      </c>
    </row>
    <row r="42" spans="2:11" x14ac:dyDescent="0.3">
      <c r="B42" t="s">
        <v>107</v>
      </c>
      <c r="C42">
        <f>C41/C43</f>
        <v>22</v>
      </c>
    </row>
    <row r="43" spans="2:11" x14ac:dyDescent="0.3">
      <c r="B43" t="s">
        <v>108</v>
      </c>
      <c r="C43">
        <v>4</v>
      </c>
    </row>
    <row r="44" spans="2:11" x14ac:dyDescent="0.3">
      <c r="B44" t="s">
        <v>109</v>
      </c>
      <c r="C44">
        <f>31*0.0254</f>
        <v>0.78739999999999999</v>
      </c>
      <c r="D44" t="s">
        <v>90</v>
      </c>
    </row>
    <row r="45" spans="2:11" x14ac:dyDescent="0.3">
      <c r="B45" t="s">
        <v>110</v>
      </c>
      <c r="C45">
        <v>6.75</v>
      </c>
      <c r="D45" t="s">
        <v>90</v>
      </c>
    </row>
    <row r="46" spans="2:11" x14ac:dyDescent="0.3">
      <c r="B46" t="s">
        <v>111</v>
      </c>
      <c r="C46">
        <v>90</v>
      </c>
      <c r="D46" t="s">
        <v>112</v>
      </c>
    </row>
    <row r="48" spans="2:11" x14ac:dyDescent="0.3">
      <c r="F48" t="s">
        <v>113</v>
      </c>
      <c r="G48">
        <v>4.1100000000000003</v>
      </c>
    </row>
    <row r="49" spans="2:6" x14ac:dyDescent="0.3">
      <c r="C49" t="s">
        <v>114</v>
      </c>
    </row>
    <row r="50" spans="2:6" x14ac:dyDescent="0.3">
      <c r="C50" t="s">
        <v>115</v>
      </c>
    </row>
    <row r="53" spans="2:6" x14ac:dyDescent="0.3">
      <c r="B53" t="s">
        <v>87</v>
      </c>
      <c r="C53" t="s">
        <v>116</v>
      </c>
      <c r="D53" t="s">
        <v>256</v>
      </c>
      <c r="E53" t="s">
        <v>117</v>
      </c>
      <c r="F53" t="s">
        <v>89</v>
      </c>
    </row>
    <row r="54" spans="2:6" x14ac:dyDescent="0.3">
      <c r="B54" s="27" t="s">
        <v>118</v>
      </c>
      <c r="C54">
        <f>'1.b) Ref_ac'!D5</f>
        <v>3841</v>
      </c>
      <c r="E54" s="25">
        <v>19.649999999999999</v>
      </c>
      <c r="F54" s="40">
        <f>E54-C27</f>
        <v>-0.10000000000000142</v>
      </c>
    </row>
    <row r="55" spans="2:6" x14ac:dyDescent="0.3">
      <c r="B55" s="27" t="s">
        <v>119</v>
      </c>
      <c r="C55">
        <f>'1.b) Ref_ac'!D8</f>
        <v>962</v>
      </c>
      <c r="E55" s="25">
        <v>11.31</v>
      </c>
      <c r="F55" s="40">
        <f>E55-C27</f>
        <v>-8.44</v>
      </c>
    </row>
    <row r="56" spans="2:6" x14ac:dyDescent="0.3">
      <c r="B56" s="27" t="s">
        <v>120</v>
      </c>
      <c r="C56">
        <f>'1.b) Ref_ac'!D9</f>
        <v>1807</v>
      </c>
      <c r="E56" s="25">
        <v>29.594999999999999</v>
      </c>
      <c r="F56" s="40">
        <f>E56-C27</f>
        <v>9.8449999999999989</v>
      </c>
    </row>
    <row r="57" spans="2:6" x14ac:dyDescent="0.3">
      <c r="B57" s="34" t="s">
        <v>50</v>
      </c>
      <c r="C57">
        <f>D16</f>
        <v>23188</v>
      </c>
      <c r="E57">
        <f>F7</f>
        <v>20.275564449917905</v>
      </c>
      <c r="F57">
        <f>F8</f>
        <v>0.52556444991789908</v>
      </c>
    </row>
    <row r="58" spans="2:6" x14ac:dyDescent="0.3">
      <c r="B58" s="34" t="s">
        <v>121</v>
      </c>
      <c r="C58">
        <f>C41*C46</f>
        <v>7920</v>
      </c>
      <c r="E58">
        <f>C45+(C42*C44)/2</f>
        <v>15.4114</v>
      </c>
      <c r="F58" s="41">
        <f>E58-C27</f>
        <v>-4.3385999999999996</v>
      </c>
    </row>
    <row r="59" spans="2:6" x14ac:dyDescent="0.3">
      <c r="B59" s="34" t="s">
        <v>49</v>
      </c>
      <c r="C59">
        <f>'1.b) Ref_ac'!D3</f>
        <v>38995</v>
      </c>
      <c r="E59">
        <f>SUMPRODUCT(C54:C58,E54:E58)/SUM(C54:C58)</f>
        <v>19.408296077859283</v>
      </c>
      <c r="F59">
        <f>SUMPRODUCT(C54:C58,F54:F58)/SUM(C54:C58)</f>
        <v>-0.34170392214072226</v>
      </c>
    </row>
  </sheetData>
  <mergeCells count="2">
    <mergeCell ref="B5:D5"/>
    <mergeCell ref="B29:D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7348-1234-4540-93C6-2A15075DD056}">
  <dimension ref="A1:AC57"/>
  <sheetViews>
    <sheetView tabSelected="1" topLeftCell="F3" zoomScale="56" workbookViewId="0">
      <selection activeCell="X18" sqref="X18"/>
    </sheetView>
  </sheetViews>
  <sheetFormatPr defaultRowHeight="14.4" x14ac:dyDescent="0.3"/>
  <cols>
    <col min="1" max="1" width="23.6640625" customWidth="1"/>
    <col min="2" max="2" width="11.5546875" customWidth="1"/>
    <col min="3" max="3" width="22.21875" customWidth="1"/>
    <col min="4" max="4" width="15.77734375" bestFit="1" customWidth="1"/>
    <col min="5" max="5" width="14.77734375" customWidth="1"/>
    <col min="7" max="7" width="14.77734375" customWidth="1"/>
    <col min="8" max="8" width="13.44140625" customWidth="1"/>
    <col min="9" max="9" width="14" customWidth="1"/>
    <col min="10" max="10" width="12.88671875" customWidth="1"/>
    <col min="14" max="16" width="9.109375" bestFit="1" customWidth="1"/>
    <col min="20" max="20" width="25.88671875" customWidth="1"/>
    <col min="21" max="21" width="22.77734375" customWidth="1"/>
    <col min="22" max="22" width="22.21875" customWidth="1"/>
    <col min="27" max="27" width="11.6640625" customWidth="1"/>
    <col min="28" max="28" width="9" bestFit="1" customWidth="1"/>
    <col min="29" max="29" width="19.88671875" bestFit="1" customWidth="1"/>
  </cols>
  <sheetData>
    <row r="1" spans="1:29" x14ac:dyDescent="0.3">
      <c r="A1" s="70" t="str">
        <f>'1.c)'!B3</f>
        <v>EOW</v>
      </c>
      <c r="B1" s="71"/>
    </row>
    <row r="2" spans="1:29" ht="15" thickBot="1" x14ac:dyDescent="0.35">
      <c r="A2" s="72">
        <f>'1.c)'!B4</f>
        <v>23188</v>
      </c>
      <c r="B2" s="73" t="str">
        <f>'1.c)'!C4</f>
        <v>kg</v>
      </c>
    </row>
    <row r="3" spans="1:29" ht="15" thickBot="1" x14ac:dyDescent="0.35">
      <c r="A3" s="111" t="str">
        <f>'1.c)'!B5</f>
        <v>Table provided, expressed in percentage of the EOW</v>
      </c>
      <c r="B3" s="112"/>
      <c r="C3" s="113"/>
      <c r="G3" s="78" t="str">
        <f>'1.c)'!H5</f>
        <v>Wing group</v>
      </c>
      <c r="H3" s="58" t="str">
        <f>'1.c)'!I5</f>
        <v>mass (kg)</v>
      </c>
      <c r="I3" s="58" t="str">
        <f>'1.c)'!J5</f>
        <v>XCG nose</v>
      </c>
      <c r="J3" s="59" t="str">
        <f>'1.c)'!K5</f>
        <v>Xcg lemac</v>
      </c>
      <c r="M3" s="78" t="str">
        <f>'1.c)'!N5</f>
        <v>Fuselage group</v>
      </c>
      <c r="N3" s="58" t="str">
        <f>'1.c)'!O5</f>
        <v>mass (kg)</v>
      </c>
      <c r="O3" s="58" t="str">
        <f>'1.c)'!P5</f>
        <v>XCG nose</v>
      </c>
      <c r="P3" s="59" t="str">
        <f>'1.c)'!Q5</f>
        <v>Xcg lemac</v>
      </c>
      <c r="T3" s="93" t="s">
        <v>295</v>
      </c>
    </row>
    <row r="4" spans="1:29" x14ac:dyDescent="0.3">
      <c r="A4" s="28" t="str">
        <f>'1.c)'!B6</f>
        <v>Component</v>
      </c>
      <c r="B4" s="26" t="str">
        <f>'1.c)'!C6</f>
        <v>Weight (% EOW)</v>
      </c>
      <c r="C4" s="29" t="str">
        <f>'1.c)'!D6</f>
        <v>mass (kg)</v>
      </c>
      <c r="D4" s="46" t="str">
        <f>'1.c)'!E6</f>
        <v>OEW CG</v>
      </c>
      <c r="G4" s="51" t="str">
        <f>'1.c)'!H6</f>
        <v>Wing</v>
      </c>
      <c r="H4" s="79">
        <f>'1.c)'!I6</f>
        <v>4568.0359999999991</v>
      </c>
      <c r="I4" s="52">
        <f>'1.c)'!J6</f>
        <v>20.861433068235293</v>
      </c>
      <c r="J4" s="53">
        <f>'1.c)'!K6</f>
        <v>1.1062986782352942</v>
      </c>
      <c r="M4" s="51" t="str">
        <f>'1.c)'!N6</f>
        <v>propulsion</v>
      </c>
      <c r="N4" s="79">
        <f>'1.c)'!O6</f>
        <v>3084.0040000000004</v>
      </c>
      <c r="O4" s="52">
        <f>'1.c)'!P6</f>
        <v>20.815803179769297</v>
      </c>
      <c r="P4" s="53">
        <f>'1.c)'!Q6</f>
        <v>1.0606687897693003</v>
      </c>
    </row>
    <row r="5" spans="1:29" ht="14.4" customHeight="1" x14ac:dyDescent="0.3">
      <c r="A5" s="30" t="str">
        <f>'1.c)'!B7</f>
        <v>Wing</v>
      </c>
      <c r="B5" s="27">
        <f>'1.c)'!C7</f>
        <v>19.7</v>
      </c>
      <c r="C5" s="31">
        <f>'1.c)'!D7</f>
        <v>4568.0359999999991</v>
      </c>
      <c r="D5">
        <f>'1.c)'!E7</f>
        <v>20.830132762969836</v>
      </c>
      <c r="E5" t="str">
        <f>'1.c)'!F7</f>
        <v>from nose</v>
      </c>
      <c r="G5" s="75" t="str">
        <f>'1.c)'!H7</f>
        <v>main landing gear</v>
      </c>
      <c r="H5" s="74">
        <f>'1.c)'!I7</f>
        <v>1344.904</v>
      </c>
      <c r="I5" s="25"/>
      <c r="J5" s="55"/>
      <c r="M5" s="75" t="str">
        <f>'1.c)'!N7</f>
        <v>fuselage</v>
      </c>
      <c r="N5" s="74">
        <f>'1.c)'!O7</f>
        <v>8115.7999999999993</v>
      </c>
      <c r="O5" s="25"/>
      <c r="P5" s="55"/>
      <c r="T5" s="28" t="str">
        <f t="shared" ref="T5:T13" si="0">A4</f>
        <v>Component</v>
      </c>
      <c r="U5" s="26" t="str">
        <f>B4</f>
        <v>Weight (% EOW)</v>
      </c>
      <c r="V5" s="29" t="str">
        <f t="shared" ref="V5:V13" si="1">C4</f>
        <v>mass (kg)</v>
      </c>
      <c r="AB5" t="s">
        <v>47</v>
      </c>
      <c r="AC5" t="s">
        <v>48</v>
      </c>
    </row>
    <row r="6" spans="1:29" ht="15" thickBot="1" x14ac:dyDescent="0.35">
      <c r="A6" s="30" t="str">
        <f>'1.c)'!B8</f>
        <v>Horizontal Tail</v>
      </c>
      <c r="B6" s="27">
        <f>'1.c)'!C8</f>
        <v>2.5</v>
      </c>
      <c r="C6" s="31">
        <f>'1.c)'!D8</f>
        <v>579.70000000000005</v>
      </c>
      <c r="D6">
        <f>'1.c)'!E8</f>
        <v>1.0749983729698283</v>
      </c>
      <c r="E6" t="str">
        <f>'1.c)'!F8</f>
        <v>from LEMAC</v>
      </c>
      <c r="G6" s="76" t="str">
        <f>'1.c)'!H8</f>
        <v>Total</v>
      </c>
      <c r="H6" s="77">
        <f>'1.c)'!I8</f>
        <v>5912.9399999999987</v>
      </c>
      <c r="I6" s="56"/>
      <c r="J6" s="57"/>
      <c r="M6" s="75" t="str">
        <f>'1.c)'!N8</f>
        <v>vertical tail</v>
      </c>
      <c r="N6" s="74">
        <f>'1.c)'!O8</f>
        <v>417.38400000000007</v>
      </c>
      <c r="O6" s="25"/>
      <c r="P6" s="55"/>
      <c r="T6" s="30" t="s">
        <v>290</v>
      </c>
      <c r="U6" s="90">
        <f>V6/$U$21 * 100</f>
        <v>15.860769656333165</v>
      </c>
      <c r="V6" s="31">
        <f>C5*0.91</f>
        <v>4156.9127599999993</v>
      </c>
      <c r="Z6" s="108" t="s">
        <v>49</v>
      </c>
      <c r="AA6" s="108"/>
      <c r="AB6">
        <v>38995</v>
      </c>
      <c r="AC6">
        <v>100</v>
      </c>
    </row>
    <row r="7" spans="1:29" x14ac:dyDescent="0.3">
      <c r="A7" s="30" t="str">
        <f>'1.c)'!B9</f>
        <v>Vertical Tail</v>
      </c>
      <c r="B7" s="27">
        <f>'1.c)'!C9</f>
        <v>1.8</v>
      </c>
      <c r="C7" s="31">
        <f>'1.c)'!D9</f>
        <v>417.38400000000007</v>
      </c>
      <c r="E7" t="str">
        <f>'1.c)'!F9</f>
        <v>lemac</v>
      </c>
      <c r="M7" s="75" t="str">
        <f>'1.c)'!N9</f>
        <v>horizontal tail</v>
      </c>
      <c r="N7" s="74">
        <f>'1.c)'!O9</f>
        <v>579.70000000000005</v>
      </c>
      <c r="O7" s="25"/>
      <c r="P7" s="55"/>
      <c r="T7" s="30" t="str">
        <f t="shared" si="0"/>
        <v>Horizontal Tail</v>
      </c>
      <c r="U7" s="90">
        <f t="shared" ref="U7:U14" si="2">V7/$U$21 * 100</f>
        <v>2.2118549752235692</v>
      </c>
      <c r="V7" s="31">
        <f t="shared" si="1"/>
        <v>579.70000000000005</v>
      </c>
      <c r="Z7" s="108" t="s">
        <v>270</v>
      </c>
      <c r="AA7" s="108"/>
      <c r="AB7">
        <v>26209</v>
      </c>
      <c r="AC7">
        <f>AB7/$AB$6 * 100</f>
        <v>67.211180920630852</v>
      </c>
    </row>
    <row r="8" spans="1:29" x14ac:dyDescent="0.3">
      <c r="A8" s="30" t="str">
        <f>'1.c)'!B10</f>
        <v>Fuselage</v>
      </c>
      <c r="B8" s="27">
        <f>'1.c)'!C10</f>
        <v>35</v>
      </c>
      <c r="C8" s="31">
        <f>'1.c)'!D10</f>
        <v>8115.7999999999993</v>
      </c>
      <c r="M8" s="75" t="str">
        <f>'1.c)'!N10</f>
        <v>cockpit</v>
      </c>
      <c r="N8" s="74">
        <f>'1.c)'!O10</f>
        <v>533.32399999999996</v>
      </c>
      <c r="O8" s="25"/>
      <c r="P8" s="55"/>
      <c r="T8" s="30" t="str">
        <f t="shared" si="0"/>
        <v>Vertical Tail</v>
      </c>
      <c r="U8" s="90">
        <f t="shared" si="2"/>
        <v>1.5925355821609699</v>
      </c>
      <c r="V8" s="31">
        <f t="shared" si="1"/>
        <v>417.38400000000007</v>
      </c>
      <c r="Z8" s="109" t="s">
        <v>51</v>
      </c>
      <c r="AA8" s="108"/>
      <c r="AB8">
        <f>AB6-AB7-AB9</f>
        <v>1923.6399999999994</v>
      </c>
      <c r="AC8">
        <f t="shared" ref="AC8" si="3">AB8/$AB$6 * 100</f>
        <v>4.9330426977817661</v>
      </c>
    </row>
    <row r="9" spans="1:29" ht="14.4" customHeight="1" x14ac:dyDescent="0.3">
      <c r="A9" s="30" t="str">
        <f>'1.c)'!B11</f>
        <v>Main Landing gear</v>
      </c>
      <c r="B9" s="27">
        <f>'1.c)'!C11</f>
        <v>5.8</v>
      </c>
      <c r="C9" s="31">
        <f>'1.c)'!D11</f>
        <v>1344.904</v>
      </c>
      <c r="M9" s="75" t="str">
        <f>'1.c)'!N11</f>
        <v>nose landing gear</v>
      </c>
      <c r="N9" s="74">
        <f>'1.c)'!O11</f>
        <v>185.50399999999999</v>
      </c>
      <c r="O9" s="25"/>
      <c r="P9" s="55"/>
      <c r="T9" s="30" t="s">
        <v>291</v>
      </c>
      <c r="U9" s="90">
        <f t="shared" si="2"/>
        <v>28.798351777410868</v>
      </c>
      <c r="V9" s="31">
        <f>C8*0.93</f>
        <v>7547.6939999999995</v>
      </c>
      <c r="Z9" s="110" t="s">
        <v>52</v>
      </c>
      <c r="AA9" t="s">
        <v>52</v>
      </c>
      <c r="AB9">
        <f>SUM(AB10:AB12)</f>
        <v>10862.36</v>
      </c>
      <c r="AC9">
        <f>AB9/$AB$6 * 100</f>
        <v>27.855776381587383</v>
      </c>
    </row>
    <row r="10" spans="1:29" ht="29.4" thickBot="1" x14ac:dyDescent="0.35">
      <c r="A10" s="30" t="str">
        <f>'1.c)'!B12</f>
        <v>Nose Landing gear</v>
      </c>
      <c r="B10" s="27">
        <f>'1.c)'!C12</f>
        <v>0.8</v>
      </c>
      <c r="C10" s="31">
        <f>'1.c)'!D12</f>
        <v>185.50399999999999</v>
      </c>
      <c r="M10" s="76" t="str">
        <f>'1.c)'!N12</f>
        <v>Total</v>
      </c>
      <c r="N10" s="77">
        <f>'1.c)'!O12</f>
        <v>12915.716000000002</v>
      </c>
      <c r="O10" s="56"/>
      <c r="P10" s="57"/>
      <c r="T10" s="30" t="str">
        <f t="shared" si="0"/>
        <v>Main Landing gear</v>
      </c>
      <c r="U10" s="90">
        <f t="shared" si="2"/>
        <v>5.1315035425186801</v>
      </c>
      <c r="V10" s="31">
        <f t="shared" si="1"/>
        <v>1344.904</v>
      </c>
      <c r="Z10" s="110"/>
      <c r="AA10" s="19" t="s">
        <v>53</v>
      </c>
      <c r="AB10">
        <v>8093.36</v>
      </c>
      <c r="AC10">
        <f>AB10/$AB$6 * 100</f>
        <v>20.754866008462621</v>
      </c>
    </row>
    <row r="11" spans="1:29" ht="28.8" x14ac:dyDescent="0.3">
      <c r="A11" s="30" t="str">
        <f>'1.c)'!B13</f>
        <v>Propulsion System</v>
      </c>
      <c r="B11" s="27">
        <f>'1.c)'!C13</f>
        <v>13.3</v>
      </c>
      <c r="C11" s="31">
        <f>'1.c)'!D13</f>
        <v>3084.0040000000004</v>
      </c>
      <c r="T11" s="30" t="str">
        <f t="shared" si="0"/>
        <v>Nose Landing gear</v>
      </c>
      <c r="U11" s="90">
        <f t="shared" si="2"/>
        <v>0.70779359207154213</v>
      </c>
      <c r="V11" s="31">
        <f t="shared" si="1"/>
        <v>185.50399999999999</v>
      </c>
      <c r="Z11" s="110"/>
      <c r="AA11" s="19" t="s">
        <v>54</v>
      </c>
      <c r="AB11">
        <v>962</v>
      </c>
      <c r="AC11">
        <f>AB11/$AB$6 * 100</f>
        <v>2.4669829465316067</v>
      </c>
    </row>
    <row r="12" spans="1:29" ht="28.8" x14ac:dyDescent="0.3">
      <c r="A12" s="30" t="str">
        <f>'1.c)'!B14</f>
        <v>Cockpit Systems</v>
      </c>
      <c r="B12" s="27">
        <f>'1.c)'!C14</f>
        <v>2.2999999999999998</v>
      </c>
      <c r="C12" s="31">
        <f>'1.c)'!D14</f>
        <v>533.32399999999996</v>
      </c>
      <c r="T12" s="30" t="str">
        <f t="shared" si="0"/>
        <v>Propulsion System</v>
      </c>
      <c r="U12" s="90">
        <f t="shared" si="2"/>
        <v>11.767068468189388</v>
      </c>
      <c r="V12" s="31">
        <f t="shared" si="1"/>
        <v>3084.0040000000004</v>
      </c>
      <c r="Z12" s="110"/>
      <c r="AA12" s="19" t="s">
        <v>55</v>
      </c>
      <c r="AB12">
        <v>1807</v>
      </c>
      <c r="AC12">
        <f>AB12/$AB$6 * 100</f>
        <v>4.6339274265931527</v>
      </c>
    </row>
    <row r="13" spans="1:29" ht="15" thickBot="1" x14ac:dyDescent="0.35">
      <c r="A13" s="32" t="str">
        <f>'1.c)'!B15</f>
        <v>Total</v>
      </c>
      <c r="B13" s="18">
        <f>'1.c)'!C15</f>
        <v>81.199999999999989</v>
      </c>
      <c r="C13" s="33">
        <f>'1.c)'!D15</f>
        <v>18828.655999999995</v>
      </c>
      <c r="O13" t="s">
        <v>265</v>
      </c>
      <c r="T13" s="30" t="str">
        <f t="shared" si="0"/>
        <v>Cockpit Systems</v>
      </c>
      <c r="U13" s="90">
        <f t="shared" si="2"/>
        <v>2.0349065772056836</v>
      </c>
      <c r="V13" s="31">
        <f t="shared" si="1"/>
        <v>533.32399999999996</v>
      </c>
    </row>
    <row r="14" spans="1:29" ht="15" thickBot="1" x14ac:dyDescent="0.35">
      <c r="O14">
        <f>(100-B13)/100 *A2</f>
        <v>4359.3440000000028</v>
      </c>
      <c r="P14" t="s">
        <v>112</v>
      </c>
      <c r="T14" s="35" t="s">
        <v>292</v>
      </c>
      <c r="U14" s="90">
        <f t="shared" si="2"/>
        <v>15.262066415204892</v>
      </c>
      <c r="V14" s="92">
        <v>4000</v>
      </c>
    </row>
    <row r="15" spans="1:29" ht="15" thickBot="1" x14ac:dyDescent="0.35">
      <c r="T15" s="32">
        <f t="shared" ref="T15" si="4">A14</f>
        <v>0</v>
      </c>
      <c r="U15" s="91">
        <f>SUM(U6:U14)</f>
        <v>83.366850586318748</v>
      </c>
      <c r="V15" s="33">
        <f>SUM(V6:V14)</f>
        <v>21849.426759999998</v>
      </c>
      <c r="Z15" t="s">
        <v>56</v>
      </c>
    </row>
    <row r="16" spans="1:29" ht="15" thickBot="1" x14ac:dyDescent="0.35">
      <c r="A16" s="64" t="str">
        <f>'1.c)'!B18</f>
        <v xml:space="preserve">CG </v>
      </c>
      <c r="B16" s="65" t="str">
        <f>'1.c)'!C18</f>
        <v>cg position from front</v>
      </c>
      <c r="C16" s="65" t="str">
        <f>'1.c)'!D18</f>
        <v>position from LEMAC</v>
      </c>
      <c r="D16" s="66"/>
      <c r="G16" t="str">
        <f>'1.c)'!H18</f>
        <v>CRJ1000 geometry</v>
      </c>
      <c r="Z16" t="s">
        <v>50</v>
      </c>
    </row>
    <row r="17" spans="1:26" x14ac:dyDescent="0.3">
      <c r="A17" s="36" t="str">
        <f>'1.c)'!B19</f>
        <v>Wing</v>
      </c>
      <c r="B17" s="42">
        <f>'1.c)'!C19</f>
        <v>20.829469199999998</v>
      </c>
      <c r="C17" s="42">
        <f>'1.c)'!D19</f>
        <v>1.0743348099999999</v>
      </c>
      <c r="D17" s="53" t="str">
        <f>'1.c)'!E19</f>
        <v>[m]</v>
      </c>
      <c r="G17" t="str">
        <f>'1.c)'!H19</f>
        <v>Fuselage length</v>
      </c>
      <c r="H17">
        <f>'1.c)'!I19</f>
        <v>36.466000000000001</v>
      </c>
      <c r="I17" t="s">
        <v>261</v>
      </c>
      <c r="T17" t="s">
        <v>266</v>
      </c>
      <c r="Z17" t="s">
        <v>51</v>
      </c>
    </row>
    <row r="18" spans="1:26" x14ac:dyDescent="0.3">
      <c r="A18" s="30" t="str">
        <f>'1.c)'!B20</f>
        <v>Horizontal Tail</v>
      </c>
      <c r="B18" s="40">
        <f>'1.c)'!C20</f>
        <v>36.951364617979998</v>
      </c>
      <c r="C18" s="40">
        <f>'1.c)'!D20</f>
        <v>17.196230227979999</v>
      </c>
      <c r="D18" s="55" t="str">
        <f>'1.c)'!E20</f>
        <v>[m]</v>
      </c>
      <c r="T18" t="s">
        <v>267</v>
      </c>
      <c r="U18" s="24">
        <f>V15</f>
        <v>21849.426759999998</v>
      </c>
      <c r="V18" t="s">
        <v>112</v>
      </c>
      <c r="Z18" t="s">
        <v>52</v>
      </c>
    </row>
    <row r="19" spans="1:26" x14ac:dyDescent="0.3">
      <c r="A19" s="30" t="str">
        <f>'1.c)'!B21</f>
        <v>Vertical Tail</v>
      </c>
      <c r="B19" s="40">
        <f>'1.c)'!C21</f>
        <v>35.166368649000006</v>
      </c>
      <c r="C19" s="40">
        <f>'1.c)'!D21</f>
        <v>15.411234259000008</v>
      </c>
      <c r="D19" s="55" t="str">
        <f>'1.c)'!E21</f>
        <v>[m]</v>
      </c>
      <c r="T19" t="s">
        <v>268</v>
      </c>
      <c r="U19">
        <f>O14</f>
        <v>4359.3440000000028</v>
      </c>
      <c r="V19" t="s">
        <v>112</v>
      </c>
      <c r="Z19" t="s">
        <v>53</v>
      </c>
    </row>
    <row r="20" spans="1:26" x14ac:dyDescent="0.3">
      <c r="A20" s="30" t="str">
        <f>'1.c)'!B22</f>
        <v>Fuselage</v>
      </c>
      <c r="B20" s="41">
        <f>'1.c)'!C22</f>
        <v>17.139019999999999</v>
      </c>
      <c r="C20" s="40">
        <f>'1.c)'!D22</f>
        <v>-2.6161143899999999</v>
      </c>
      <c r="D20" s="55" t="str">
        <f>'1.c)'!E22</f>
        <v>[m]</v>
      </c>
      <c r="Z20" t="s">
        <v>54</v>
      </c>
    </row>
    <row r="21" spans="1:26" x14ac:dyDescent="0.3">
      <c r="A21" s="30" t="str">
        <f>'1.c)'!B23</f>
        <v>Main Landing gear</v>
      </c>
      <c r="B21" s="40">
        <f>'1.c)'!C23</f>
        <v>20.97</v>
      </c>
      <c r="C21" s="40">
        <f>'1.c)'!D23</f>
        <v>1.2148656100000004</v>
      </c>
      <c r="D21" s="55" t="str">
        <f>'1.c)'!E23</f>
        <v>[m]</v>
      </c>
      <c r="T21" s="21" t="s">
        <v>75</v>
      </c>
      <c r="U21" s="24">
        <f>SUM(U18:U20)</f>
        <v>26208.770759999999</v>
      </c>
      <c r="Z21" t="s">
        <v>55</v>
      </c>
    </row>
    <row r="22" spans="1:26" ht="14.4" customHeight="1" x14ac:dyDescent="0.3">
      <c r="A22" s="30" t="str">
        <f>'1.c)'!B24</f>
        <v>Nose Landing gear</v>
      </c>
      <c r="B22" s="40">
        <f>'1.c)'!C24</f>
        <v>2.17</v>
      </c>
      <c r="C22" s="40">
        <f>'1.c)'!D24</f>
        <v>-17.58513439</v>
      </c>
      <c r="D22" s="55" t="str">
        <f>'1.c)'!E24</f>
        <v>[m]</v>
      </c>
    </row>
    <row r="23" spans="1:26" x14ac:dyDescent="0.3">
      <c r="A23" s="30" t="str">
        <f>'1.c)'!B25</f>
        <v>Propulsion System</v>
      </c>
      <c r="B23" s="40">
        <f>'1.c)'!C25</f>
        <v>29.851139999999997</v>
      </c>
      <c r="C23" s="40">
        <f>'1.c)'!D25</f>
        <v>10.096005609999999</v>
      </c>
      <c r="D23" s="55" t="str">
        <f>'1.c)'!E25</f>
        <v>[m]</v>
      </c>
      <c r="T23" t="s">
        <v>269</v>
      </c>
    </row>
    <row r="24" spans="1:26" ht="15" thickBot="1" x14ac:dyDescent="0.35">
      <c r="A24" s="35" t="str">
        <f>'1.c)'!B26</f>
        <v>Cockpit Systems</v>
      </c>
      <c r="B24" s="44">
        <f>'1.c)'!C26</f>
        <v>2.2349999999999999</v>
      </c>
      <c r="C24" s="44">
        <f>'1.c)'!D26</f>
        <v>-17.520134389999999</v>
      </c>
      <c r="D24" s="57" t="str">
        <f>'1.c)'!E26</f>
        <v>[m]</v>
      </c>
      <c r="U24" t="s">
        <v>58</v>
      </c>
      <c r="V24" t="s">
        <v>285</v>
      </c>
    </row>
    <row r="25" spans="1:26" ht="15" thickBot="1" x14ac:dyDescent="0.35">
      <c r="A25" s="67" t="str">
        <f>'1.c)'!B27</f>
        <v>nose to lemac</v>
      </c>
      <c r="B25" s="68">
        <f>'1.c)'!C27</f>
        <v>19.755134389999998</v>
      </c>
      <c r="C25" s="68"/>
      <c r="D25" s="69"/>
      <c r="T25" t="s">
        <v>284</v>
      </c>
      <c r="U25">
        <v>9197</v>
      </c>
      <c r="V25">
        <v>100</v>
      </c>
    </row>
    <row r="26" spans="1:26" ht="15" thickBot="1" x14ac:dyDescent="0.35">
      <c r="I26" t="s">
        <v>232</v>
      </c>
      <c r="J26" t="s">
        <v>233</v>
      </c>
      <c r="K26" t="s">
        <v>234</v>
      </c>
      <c r="U26">
        <f>U25/V25</f>
        <v>91.97</v>
      </c>
      <c r="V26">
        <v>1</v>
      </c>
    </row>
    <row r="27" spans="1:26" ht="15" thickBot="1" x14ac:dyDescent="0.35">
      <c r="A27" s="114" t="str">
        <f>'1.c)'!B29</f>
        <v>LEMAC Calculation prerequisites</v>
      </c>
      <c r="B27" s="115"/>
      <c r="C27" s="115"/>
      <c r="D27" s="59" t="str">
        <f>'1.c)'!E29</f>
        <v>source</v>
      </c>
      <c r="I27">
        <v>1</v>
      </c>
      <c r="J27" t="s">
        <v>237</v>
      </c>
      <c r="K27" t="s">
        <v>238</v>
      </c>
      <c r="U27">
        <f>U26*V27</f>
        <v>8093.36</v>
      </c>
      <c r="V27">
        <v>88</v>
      </c>
    </row>
    <row r="28" spans="1:26" x14ac:dyDescent="0.3">
      <c r="A28" s="36" t="str">
        <f>'1.c)'!B30</f>
        <v>Wing surface</v>
      </c>
      <c r="B28" s="42">
        <f>'1.c)'!C30</f>
        <v>77.39</v>
      </c>
      <c r="C28" s="37" t="str">
        <f>'1.c)'!D30</f>
        <v>[m2]</v>
      </c>
      <c r="D28" s="53" t="str">
        <f>'1.c)'!E30</f>
        <v>CPJ1000APMR8</v>
      </c>
      <c r="I28">
        <v>2</v>
      </c>
      <c r="J28" t="s">
        <v>237</v>
      </c>
      <c r="K28" t="s">
        <v>239</v>
      </c>
    </row>
    <row r="29" spans="1:26" x14ac:dyDescent="0.3">
      <c r="A29" s="30" t="str">
        <f>'1.c)'!B31</f>
        <v>wing span</v>
      </c>
      <c r="B29" s="40">
        <f>'1.c)'!C31</f>
        <v>26.175000000000001</v>
      </c>
      <c r="C29" s="38" t="str">
        <f>'1.c)'!D31</f>
        <v>[m]</v>
      </c>
      <c r="D29" s="55" t="str">
        <f>'1.c)'!E31</f>
        <v>CPJ1000APMR8</v>
      </c>
      <c r="I29">
        <v>3</v>
      </c>
      <c r="J29" t="s">
        <v>240</v>
      </c>
      <c r="K29" t="s">
        <v>241</v>
      </c>
      <c r="T29" t="s">
        <v>294</v>
      </c>
    </row>
    <row r="30" spans="1:26" x14ac:dyDescent="0.3">
      <c r="A30" s="30" t="str">
        <f>'1.c)'!B32</f>
        <v>taper</v>
      </c>
      <c r="B30" s="40">
        <f>'1.c)'!C32</f>
        <v>0.23812886559999999</v>
      </c>
      <c r="C30" s="38" t="str">
        <f>'1.c)'!D32</f>
        <v>[-]</v>
      </c>
      <c r="D30" s="55" t="str">
        <f>'1.c)'!E32</f>
        <v>CPJ1000APMR8</v>
      </c>
      <c r="I30">
        <v>4</v>
      </c>
      <c r="J30" t="s">
        <v>242</v>
      </c>
      <c r="K30" t="s">
        <v>243</v>
      </c>
      <c r="T30">
        <f>O14/U21*100</f>
        <v>16.633149413681249</v>
      </c>
      <c r="U30">
        <f>100-T30</f>
        <v>83.366850586318748</v>
      </c>
    </row>
    <row r="31" spans="1:26" x14ac:dyDescent="0.3">
      <c r="A31" s="30" t="str">
        <f>'1.c)'!B33</f>
        <v>root chord</v>
      </c>
      <c r="B31" s="40">
        <f>'1.c)'!C33</f>
        <v>5.887979488</v>
      </c>
      <c r="C31" s="38" t="str">
        <f>'1.c)'!D33</f>
        <v>[m]</v>
      </c>
      <c r="D31" s="55" t="str">
        <f>'1.c)'!E33</f>
        <v>CRJ1000APMR8</v>
      </c>
      <c r="I31">
        <v>5</v>
      </c>
      <c r="J31" t="s">
        <v>244</v>
      </c>
    </row>
    <row r="32" spans="1:26" x14ac:dyDescent="0.3">
      <c r="A32" s="30" t="str">
        <f>'1.c)'!B34</f>
        <v>tip chord</v>
      </c>
      <c r="B32" s="43">
        <f>'1.c)'!C34</f>
        <v>1.4020978761535088</v>
      </c>
      <c r="C32" s="38" t="str">
        <f>'1.c)'!D34</f>
        <v>[m]</v>
      </c>
      <c r="D32" s="55" t="str">
        <f>'1.c)'!E34</f>
        <v>CPJ1000APMR8</v>
      </c>
      <c r="I32">
        <v>6</v>
      </c>
      <c r="J32" t="s">
        <v>245</v>
      </c>
      <c r="K32" t="s">
        <v>246</v>
      </c>
      <c r="T32" s="28"/>
      <c r="U32" s="26"/>
      <c r="V32" s="29"/>
    </row>
    <row r="33" spans="1:22" x14ac:dyDescent="0.3">
      <c r="A33" s="30" t="str">
        <f>'1.c)'!B35</f>
        <v xml:space="preserve">sweep </v>
      </c>
      <c r="B33" s="40">
        <f>'1.c)'!C35</f>
        <v>30</v>
      </c>
      <c r="C33" s="38" t="str">
        <f>'1.c)'!D35</f>
        <v>degrees</v>
      </c>
      <c r="D33" s="55" t="str">
        <f>'1.c)'!E35</f>
        <v>CPJ1000APMR8</v>
      </c>
      <c r="I33">
        <v>7</v>
      </c>
      <c r="J33" t="s">
        <v>247</v>
      </c>
      <c r="K33" t="s">
        <v>248</v>
      </c>
      <c r="T33" s="30"/>
      <c r="U33" s="90"/>
      <c r="V33" s="31"/>
    </row>
    <row r="34" spans="1:22" ht="15" thickBot="1" x14ac:dyDescent="0.35">
      <c r="A34" s="35" t="str">
        <f>'1.c)'!B36</f>
        <v>aspect ratio</v>
      </c>
      <c r="B34" s="44">
        <f>'1.c)'!C36</f>
        <v>8.8529606538312446</v>
      </c>
      <c r="C34" s="39" t="str">
        <f>'1.c)'!D36</f>
        <v>[-]</v>
      </c>
      <c r="D34" s="57" t="str">
        <f>'1.c)'!E36</f>
        <v>CPJ1000APMR8</v>
      </c>
      <c r="I34">
        <v>8</v>
      </c>
      <c r="J34" t="s">
        <v>49</v>
      </c>
      <c r="K34" t="s">
        <v>249</v>
      </c>
      <c r="T34" s="30"/>
      <c r="U34" s="90"/>
      <c r="V34" s="31"/>
    </row>
    <row r="35" spans="1:22" x14ac:dyDescent="0.3">
      <c r="I35">
        <v>9</v>
      </c>
      <c r="J35" t="s">
        <v>250</v>
      </c>
      <c r="K35" t="s">
        <v>251</v>
      </c>
      <c r="T35" s="30"/>
      <c r="U35" s="90"/>
      <c r="V35" s="31"/>
    </row>
    <row r="36" spans="1:22" x14ac:dyDescent="0.3">
      <c r="I36">
        <v>10</v>
      </c>
      <c r="J36" t="s">
        <v>252</v>
      </c>
      <c r="K36" t="s">
        <v>253</v>
      </c>
      <c r="T36" s="30"/>
      <c r="U36" s="90"/>
      <c r="V36" s="31"/>
    </row>
    <row r="37" spans="1:22" x14ac:dyDescent="0.3">
      <c r="I37">
        <v>11</v>
      </c>
      <c r="J37" t="s">
        <v>254</v>
      </c>
      <c r="K37" t="s">
        <v>255</v>
      </c>
      <c r="T37" s="30"/>
      <c r="U37" s="90"/>
      <c r="V37" s="31"/>
    </row>
    <row r="38" spans="1:22" ht="15" thickBot="1" x14ac:dyDescent="0.35">
      <c r="T38" s="30"/>
      <c r="U38" s="90"/>
      <c r="V38" s="31"/>
    </row>
    <row r="39" spans="1:22" x14ac:dyDescent="0.3">
      <c r="A39" s="51" t="s">
        <v>262</v>
      </c>
      <c r="B39" s="52">
        <v>100</v>
      </c>
      <c r="C39" s="53" t="s">
        <v>99</v>
      </c>
      <c r="K39" t="s">
        <v>305</v>
      </c>
      <c r="T39" s="30"/>
      <c r="U39" s="90"/>
      <c r="V39" s="31"/>
    </row>
    <row r="40" spans="1:22" x14ac:dyDescent="0.3">
      <c r="A40" s="75" t="str">
        <f>'1.c)'!B42</f>
        <v>n rows</v>
      </c>
      <c r="B40" s="25">
        <f>'1.c)'!C42</f>
        <v>20</v>
      </c>
      <c r="C40" s="55" t="s">
        <v>99</v>
      </c>
      <c r="I40" t="s">
        <v>298</v>
      </c>
      <c r="J40" t="s">
        <v>299</v>
      </c>
      <c r="K40">
        <v>20</v>
      </c>
      <c r="T40" s="30"/>
      <c r="U40" s="90"/>
      <c r="V40" s="31"/>
    </row>
    <row r="41" spans="1:22" ht="15" thickBot="1" x14ac:dyDescent="0.35">
      <c r="A41" s="75" t="str">
        <f>'1.c)'!B43</f>
        <v>seat per row</v>
      </c>
      <c r="B41" s="25">
        <f>'1.c)'!C43</f>
        <v>5</v>
      </c>
      <c r="C41" s="55" t="s">
        <v>99</v>
      </c>
      <c r="J41" t="s">
        <v>300</v>
      </c>
      <c r="K41" t="s">
        <v>301</v>
      </c>
      <c r="T41" s="32"/>
      <c r="U41" s="91"/>
      <c r="V41" s="33"/>
    </row>
    <row r="42" spans="1:22" x14ac:dyDescent="0.3">
      <c r="A42" s="75" t="str">
        <f>'1.c)'!B44</f>
        <v>seat pitch</v>
      </c>
      <c r="B42" s="25">
        <f>'1.c)'!C44</f>
        <v>0.78739999999999999</v>
      </c>
      <c r="C42" s="55" t="str">
        <f>'1.c)'!D44</f>
        <v>[m]</v>
      </c>
      <c r="I42" t="s">
        <v>129</v>
      </c>
      <c r="J42" t="s">
        <v>289</v>
      </c>
      <c r="K42">
        <v>-9</v>
      </c>
    </row>
    <row r="43" spans="1:22" x14ac:dyDescent="0.3">
      <c r="A43" s="75" t="str">
        <f>'1.c)'!B45</f>
        <v>first row longitudinal position</v>
      </c>
      <c r="B43" s="25">
        <f>'1.c)'!C45</f>
        <v>6.75</v>
      </c>
      <c r="C43" s="55" t="str">
        <f>'1.c)'!D45</f>
        <v>[m]</v>
      </c>
      <c r="I43" t="s">
        <v>80</v>
      </c>
      <c r="J43" t="s">
        <v>289</v>
      </c>
      <c r="K43">
        <v>-7</v>
      </c>
    </row>
    <row r="44" spans="1:22" ht="15" thickBot="1" x14ac:dyDescent="0.35">
      <c r="A44" s="76" t="str">
        <f>'1.c)'!B46</f>
        <v xml:space="preserve">passenger mass per </v>
      </c>
      <c r="B44" s="56">
        <f>'1.c)'!C46</f>
        <v>90</v>
      </c>
      <c r="C44" s="57" t="str">
        <f>'1.c)'!D46</f>
        <v>[kg]</v>
      </c>
      <c r="I44" t="s">
        <v>302</v>
      </c>
      <c r="J44" t="s">
        <v>220</v>
      </c>
    </row>
    <row r="45" spans="1:22" x14ac:dyDescent="0.3">
      <c r="I45" t="s">
        <v>306</v>
      </c>
      <c r="J45" t="s">
        <v>220</v>
      </c>
    </row>
    <row r="46" spans="1:22" x14ac:dyDescent="0.3">
      <c r="D46" t="str">
        <f>'1.c)'!E48</f>
        <v>MAC</v>
      </c>
      <c r="E46">
        <f>'1.c)'!F48</f>
        <v>4.1100000000000003</v>
      </c>
      <c r="I46" t="s">
        <v>292</v>
      </c>
    </row>
    <row r="47" spans="1:22" x14ac:dyDescent="0.3">
      <c r="B47" t="str">
        <f>'1.c)'!C49</f>
        <v>MAC: 4.11, Position: (5.20, -3.45)</v>
      </c>
    </row>
    <row r="48" spans="1:22" x14ac:dyDescent="0.3">
      <c r="B48" t="str">
        <f>'1.c)'!C50</f>
        <v>AC Position: (5.20, -4.47)</v>
      </c>
    </row>
    <row r="50" spans="1:4" ht="15" thickBot="1" x14ac:dyDescent="0.35"/>
    <row r="51" spans="1:4" ht="15" thickBot="1" x14ac:dyDescent="0.35">
      <c r="A51" s="61" t="str">
        <f>'1.c)'!B53</f>
        <v xml:space="preserve">CG </v>
      </c>
      <c r="B51" s="62" t="str">
        <f>'1.c)'!C53</f>
        <v>Mass</v>
      </c>
      <c r="C51" s="62" t="str">
        <f>'1.c)'!D53</f>
        <v>position from front</v>
      </c>
      <c r="D51" s="63" t="str">
        <f>'1.c)'!E53</f>
        <v>position from LEMAC</v>
      </c>
    </row>
    <row r="52" spans="1:4" x14ac:dyDescent="0.3">
      <c r="A52" s="36" t="str">
        <f>'1.c)'!B54</f>
        <v>Fuel</v>
      </c>
      <c r="B52" s="52">
        <f>'1.c)'!C54</f>
        <v>3841</v>
      </c>
      <c r="C52" s="52">
        <f>'1.c)'!D54</f>
        <v>19.649999999999999</v>
      </c>
      <c r="D52" s="60">
        <f>'1.c)'!E54</f>
        <v>-0.10513438999999991</v>
      </c>
    </row>
    <row r="53" spans="1:4" x14ac:dyDescent="0.3">
      <c r="A53" s="30" t="str">
        <f>'1.c)'!B55</f>
        <v>Front cargo compart</v>
      </c>
      <c r="B53" s="25">
        <f>'1.c)'!C55</f>
        <v>962</v>
      </c>
      <c r="C53" s="25">
        <f>'1.c)'!D55</f>
        <v>11.31</v>
      </c>
      <c r="D53" s="54">
        <f>'1.c)'!E55</f>
        <v>-8.445134389999998</v>
      </c>
    </row>
    <row r="54" spans="1:4" x14ac:dyDescent="0.3">
      <c r="A54" s="30" t="str">
        <f>'1.c)'!B56</f>
        <v>Rear Crago Comp</v>
      </c>
      <c r="B54" s="25">
        <f>'1.c)'!C56</f>
        <v>1807</v>
      </c>
      <c r="C54" s="25">
        <f>'1.c)'!D56</f>
        <v>29.594999999999999</v>
      </c>
      <c r="D54" s="54">
        <f>'1.c)'!E56</f>
        <v>9.8398656100000004</v>
      </c>
    </row>
    <row r="55" spans="1:4" x14ac:dyDescent="0.3">
      <c r="A55" s="30" t="str">
        <f>'1.c)'!B57</f>
        <v>OEW</v>
      </c>
      <c r="B55" s="74">
        <f>'1.c)'!C57</f>
        <v>18828.655999999995</v>
      </c>
      <c r="C55" s="25">
        <f>'1.c)'!D57</f>
        <v>20.830132762969836</v>
      </c>
      <c r="D55" s="55">
        <f>'1.c)'!E57</f>
        <v>1.0749983729698283</v>
      </c>
    </row>
    <row r="56" spans="1:4" x14ac:dyDescent="0.3">
      <c r="A56" s="30" t="str">
        <f>'1.c)'!B58</f>
        <v>PAX</v>
      </c>
      <c r="B56" s="25">
        <f>'1.c)'!C58</f>
        <v>9000</v>
      </c>
      <c r="C56" s="25">
        <f>'1.c)'!D58</f>
        <v>14.623999999999999</v>
      </c>
      <c r="D56" s="54">
        <f>'1.c)'!E58</f>
        <v>-5.1311343899999997</v>
      </c>
    </row>
    <row r="57" spans="1:4" ht="15" thickBot="1" x14ac:dyDescent="0.35">
      <c r="A57" s="35" t="str">
        <f>'1.c)'!B59</f>
        <v>MTOW</v>
      </c>
      <c r="B57" s="56">
        <f>'1.c)'!C59</f>
        <v>38995</v>
      </c>
      <c r="C57" s="56">
        <f>'1.c)'!D59</f>
        <v>19.270596367880575</v>
      </c>
      <c r="D57" s="57">
        <f>'1.c)'!E59</f>
        <v>-0.48453802211942915</v>
      </c>
    </row>
  </sheetData>
  <mergeCells count="6">
    <mergeCell ref="A27:C27"/>
    <mergeCell ref="Z6:AA6"/>
    <mergeCell ref="Z7:AA7"/>
    <mergeCell ref="Z8:AA8"/>
    <mergeCell ref="Z9:Z12"/>
    <mergeCell ref="A3:C3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DA9BE-697D-4C26-B6CF-66C07C9004EC}">
  <dimension ref="A1"/>
  <sheetViews>
    <sheetView workbookViewId="0">
      <selection sqref="A1:F1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DE541D33E98A48B23D705820022246" ma:contentTypeVersion="3" ma:contentTypeDescription="Een nieuw document maken." ma:contentTypeScope="" ma:versionID="a517aa44d16be3527c169fa0f063ae0c">
  <xsd:schema xmlns:xsd="http://www.w3.org/2001/XMLSchema" xmlns:xs="http://www.w3.org/2001/XMLSchema" xmlns:p="http://schemas.microsoft.com/office/2006/metadata/properties" xmlns:ns2="80f366c5-e2c2-443e-9aca-20c764063092" targetNamespace="http://schemas.microsoft.com/office/2006/metadata/properties" ma:root="true" ma:fieldsID="67dd4e636cd650890df4bb4e33b80f1b" ns2:_="">
    <xsd:import namespace="80f366c5-e2c2-443e-9aca-20c7640630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f366c5-e2c2-443e-9aca-20c7640630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01C5AC-137A-4BC4-A01C-8A60AF7BB3AD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80f366c5-e2c2-443e-9aca-20c76406309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27014FA-0BD7-4ACF-8A1D-28EA32AFC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f366c5-e2c2-443e-9aca-20c7640630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7015DE-E6D5-483D-A093-381501048B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Task_Distribution</vt:lpstr>
      <vt:lpstr>1.b) Ref_ac</vt:lpstr>
      <vt:lpstr>1.c)</vt:lpstr>
      <vt:lpstr>1.d)</vt:lpstr>
      <vt:lpstr>1.e)</vt:lpstr>
      <vt:lpstr>1.g)</vt:lpstr>
      <vt:lpstr>1.f)</vt:lpstr>
      <vt:lpstr>2.a)</vt:lpstr>
      <vt:lpstr>2.a_2)_RIK</vt:lpstr>
      <vt:lpstr>2.b)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Theotime</dc:creator>
  <cp:keywords/>
  <dc:description/>
  <cp:lastModifiedBy>Theotime Pinchart</cp:lastModifiedBy>
  <cp:revision/>
  <dcterms:created xsi:type="dcterms:W3CDTF">2026-03-20T13:34:43Z</dcterms:created>
  <dcterms:modified xsi:type="dcterms:W3CDTF">2026-03-27T13:09:43Z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0x01010032DE541D33E98A48B23D705820022246</vt:lpwstr>
  </property>
</Properties>
</file>